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<sst xmlns="http://schemas.openxmlformats.org/spreadsheetml/2006/main" count="1347" uniqueCount="932">
  <si>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</si>
  <si>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</si>
  <si>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</si>
  <si>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</si>
  <si>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</si>
  <si>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</si>
  <si>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</si>
  <si>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</si>
  <si>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</si>
  <si>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</si>
  <si>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</si>
  <si>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</si>
  <si>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</si>
  <si>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</si>
  <si>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</si>
  <si>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</si>
  <si>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</si>
  <si>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</si>
  <si>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</si>
  <si>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</si>
  <si>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</si>
  <si>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</si>
  <si>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</si>
  <si>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</si>
  <si>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</si>
  <si>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</si>
  <si>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</si>
  <si>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</si>
  <si>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</si>
  <si>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</si>
  <si>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</si>
  <si>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</si>
  <si>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</si>
  <si>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</si>
  <si>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</si>
  <si>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</si>
  <si>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</si>
  <si>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</si>
  <si>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</si>
  <si>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</si>
  <si>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</si>
  <si>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</si>
  <si>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</si>
  <si>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</si>
  <si>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</si>
  <si>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</si>
  <si>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</si>
  <si>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</si>
  <si>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</si>
  <si>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</si>
  <si>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</si>
  <si>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</si>
  <si>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</si>
  <si>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</si>
  <si>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</si>
  <si>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</si>
  <si>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</si>
  <si>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</si>
  <si>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</si>
  <si>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</si>
  <si>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</si>
  <si>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</si>
  <si>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</si>
  <si>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</si>
  <si>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</si>
  <si>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</si>
  <si>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</si>
  <si>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</si>
  <si>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</si>
  <si>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</si>
  <si>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</si>
  <si>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</si>
  <si>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</si>
  <si>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</si>
  <si>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</si>
  <si>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</si>
  <si>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</si>
  <si>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</si>
  <si>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</si>
  <si>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</si>
  <si>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</si>
  <si>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</si>
  <si>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</si>
  <si>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</si>
  <si>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</si>
  <si>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</si>
  <si>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</si>
  <si>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</si>
  <si>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</si>
  <si>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</si>
  <si>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</si>
  <si>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</si>
  <si>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</si>
  <si>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</si>
  <si>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</si>
  <si>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</si>
  <si>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</si>
  <si>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</si>
  <si>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</si>
  <si>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</si>
  <si>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</si>
  <si>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</si>
  <si>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</si>
  <si>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</si>
  <si>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</si>
  <si>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</si>
  <si>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</si>
  <si>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</si>
  <si>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</si>
  <si>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</si>
  <si>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</si>
  <si>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</si>
  <si>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</si>
  <si>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</si>
  <si>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</si>
  <si>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</si>
  <si>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</si>
  <si>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</si>
  <si>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</si>
  <si>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</si>
  <si>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</si>
  <si>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</si>
  <si>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</si>
  <si>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</si>
  <si>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</si>
  <si>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</si>
  <si>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</si>
  <si>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</si>
  <si>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</si>
  <si>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</si>
  <si>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</si>
  <si>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</si>
  <si>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</si>
  <si>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</si>
  <si>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</si>
  <si>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</si>
  <si>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</si>
  <si>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</si>
  <si>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</si>
  <si>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</si>
  <si>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</si>
  <si>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</si>
  <si>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</si>
  <si>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</si>
  <si>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</si>
  <si>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</si>
  <si>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</si>
  <si>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</si>
  <si>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</si>
  <si>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</si>
  <si>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</si>
  <si>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</si>
  <si>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</si>
  <si>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</si>
  <si>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</si>
  <si>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</si>
  <si>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</si>
  <si>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</si>
  <si>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</si>
  <si>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</si>
  <si>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</si>
  <si>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</si>
  <si>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</si>
  <si>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</si>
  <si>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</si>
  <si>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</si>
  <si>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</si>
  <si>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</si>
  <si>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</si>
  <si>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</si>
  <si>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</si>
  <si>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</si>
  <si>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</si>
  <si>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</si>
  <si>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</si>
  <si>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</si>
  <si>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</si>
  <si>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</si>
  <si>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</si>
  <si>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</si>
  <si>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</si>
  <si>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</si>
  <si>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</si>
  <si>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</si>
  <si>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</si>
  <si>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</si>
  <si>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</si>
  <si>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</si>
  <si>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</si>
  <si>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</si>
  <si>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</si>
  <si>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</si>
  <si>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</si>
  <si>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</si>
  <si>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</si>
  <si>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</si>
  <si>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</si>
  <si>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</si>
  <si>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</si>
  <si>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</si>
  <si>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</si>
  <si>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</si>
  <si>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</si>
  <si>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</si>
  <si>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</si>
  <si>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</si>
  <si>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</si>
  <si>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</si>
  <si>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</si>
  <si>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</si>
  <si>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</si>
  <si>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</si>
  <si>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</si>
  <si>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</si>
  <si>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</si>
  <si>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</si>
  <si>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</si>
  <si>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</si>
  <si>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</si>
  <si>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</si>
  <si>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</si>
  <si>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</si>
  <si>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</si>
  <si>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</si>
  <si>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</si>
  <si>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</si>
  <si>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</si>
  <si>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</si>
  <si>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</si>
  <si>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</si>
  <si>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</si>
  <si>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</si>
  <si>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</si>
  <si>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</si>
  <si>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</si>
  <si>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</si>
  <si>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</si>
  <si>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</si>
  <si>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</si>
  <si>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</si>
  <si>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</si>
  <si>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</si>
  <si>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</si>
  <si>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</si>
  <si>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</si>
  <si>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</si>
  <si>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</si>
  <si>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</si>
  <si>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</si>
  <si>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</si>
  <si>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</si>
  <si>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</si>
  <si>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</si>
  <si>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</si>
  <si>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</si>
  <si>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</si>
  <si>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</si>
  <si>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</si>
  <si>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</si>
  <si>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</si>
  <si>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</si>
  <si>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</si>
  <si>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</si>
  <si>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</si>
  <si>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</si>
  <si>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</si>
  <si>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</si>
  <si>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</si>
  <si>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</si>
  <si>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</si>
  <si>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</si>
  <si>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</si>
  <si>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</si>
  <si>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</si>
  <si>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</si>
  <si>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</si>
  <si>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</si>
  <si>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</si>
  <si>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</si>
  <si>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</si>
  <si>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</si>
  <si>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</si>
  <si>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</si>
  <si>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</si>
  <si>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</si>
  <si>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</si>
  <si>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</si>
  <si>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</si>
  <si>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</si>
  <si>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</si>
  <si>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</si>
  <si>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</si>
  <si>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</si>
  <si>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</si>
  <si>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</si>
  <si>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</si>
  <si>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</si>
  <si>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</si>
  <si>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</si>
  <si>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</si>
  <si>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</si>
  <si>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</si>
  <si>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</si>
  <si>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</si>
  <si>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</si>
  <si>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</si>
  <si>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</si>
  <si>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</si>
  <si>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</si>
  <si>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</si>
  <si>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</si>
  <si>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</si>
  <si>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</si>
  <si>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</si>
  <si>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</si>
  <si>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</si>
  <si>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</si>
  <si>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</si>
  <si>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</si>
  <si>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</si>
  <si>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</si>
  <si>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</si>
  <si>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</si>
  <si>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</si>
  <si>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</si>
  <si>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</si>
  <si>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</si>
  <si>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</si>
  <si>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</si>
  <si>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</si>
  <si>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</si>
  <si>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</si>
  <si>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</si>
  <si>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</si>
  <si>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</si>
  <si>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</si>
  <si>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</si>
  <si>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</si>
  <si>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</si>
  <si>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</si>
  <si>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</si>
  <si>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</si>
  <si>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</si>
  <si>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</si>
  <si>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</si>
  <si>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</si>
  <si>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</si>
  <si>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</si>
  <si>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</si>
  <si>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</si>
  <si>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</si>
  <si>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</si>
  <si>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</si>
  <si>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</si>
  <si>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</si>
  <si>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</si>
  <si>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</si>
  <si>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</si>
  <si>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</si>
  <si>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</si>
  <si>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</si>
  <si>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</si>
  <si>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</si>
  <si>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</si>
  <si>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</si>
  <si>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</si>
  <si>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</si>
  <si>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</si>
  <si>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</si>
  <si>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</si>
  <si>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</si>
  <si>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</si>
  <si>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</si>
  <si>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</si>
  <si>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</si>
  <si>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</si>
  <si>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</si>
  <si>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</si>
  <si>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</si>
  <si>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</si>
  <si>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</si>
  <si>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</si>
  <si>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</si>
  <si>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。使用圓規或墨弓時不會出現（抽到直接棄掉）。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</si>
  <si>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</si>
  <si>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</si>
  <si>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</si>
  <si>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</si>
  <si>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</si>
  <si>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</si>
  <si>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</si>
  <si>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</si>
  <si>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</si>
  <si>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</si>
  <si>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</si>
  <si>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</si>
  <si>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</si>
  <si>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</si>
  <si>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</si>
  <si>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</si>
  <si>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</si>
  <si>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</si>
  <si>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</si>
  <si>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</si>
  <si>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</si>
  <si>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</si>
  <si>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</si>
  <si>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</si>
  <si>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</si>
  <si>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</si>
  <si>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</si>
  <si>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</si>
  <si>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</si>
  <si>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</si>
  <si>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</si>
  <si>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</si>
  <si>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</si>
  <si>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</si>
  <si>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</si>
  <si>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</si>
  <si>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</si>
  <si>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</si>
  <si>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</si>
  <si>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</si>
  <si>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</si>
  <si>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</si>
  <si>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paperPlane</t>
  </si>
  <si>
    <t xml:space="preserve">紙飛機兵</t>
  </si>
  <si>
    <r>
      <rPr>
        <sz val="11"/>
        <rFont val="WenQuanYi Zen Hei"/>
        <family val="2"/>
      </rPr>
      <t xml:space="preserve">【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形紙飛機】地面先出現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形虛線，紙飛機飛到你身後再沿反向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形飛回，去回各打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次；會飛越矮牆，被打中就墜毀並讓紙飛機兵硬直。
【雙機交叉（精英）】一次擲出兩架，一左一右在途中交叉，回程也交叉；預警縮短為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秒，兩架都被打掉才硬直。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</si>
  <si>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[6, 10]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firstThrow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throwEvery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eliteTelegraph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flyRange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[8, 13]
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outSpeed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backSpeed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9.5
hover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planeRadius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planeHeight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planeDamage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rehit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throwSlow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dashes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dashAlpha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</si>
  <si>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</si>
  <si>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</si>
  <si>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</si>
  <si>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</si>
  <si>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stickyHelper</t>
  </si>
  <si>
    <t xml:space="preserve">便利貼助手</t>
  </si>
  <si>
    <r>
      <rPr>
        <sz val="11"/>
        <rFont val="WenQuanYi Zen Hei"/>
        <family val="2"/>
      </rPr>
      <t xml:space="preserve">【貼紙盾】每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秒替最近、沒有盾的敵人貼便利貼（同時最多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隻，精英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隻）：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以下的一擊完全擋下，更強的扣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後打穿；助手倒下時全部消失。
【孤軍衝鋒】場上只剩它（或只剩便利貼助手）時，會直接衝向你用身體撞擊。</t>
    </r>
  </si>
  <si>
    <r>
      <rPr>
        <sz val="11"/>
        <rFont val="Arial"/>
        <family val="0"/>
        <charset val="1"/>
      </rPr>
      <t xml:space="preserve">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behind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stickEvery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blockMax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20
pierceLoss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10
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1.35
noteSize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</si>
  <si>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</si>
  <si>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</si>
  <si>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</si>
  <si>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</si>
  <si>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</si>
  <si>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</si>
  <si>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</si>
  <si>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</si>
  <si>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</si>
  <si>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</si>
  <si>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</si>
  <si>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</si>
  <si>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</si>
  <si>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</si>
  <si>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</si>
  <si>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</si>
  <si>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</si>
  <si>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</si>
  <si>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</si>
  <si>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</si>
  <si>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</si>
  <si>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</si>
  <si>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</si>
  <si>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</si>
  <si>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</si>
  <si>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</si>
  <si>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</si>
  <si>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</si>
  <si>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</si>
  <si>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</si>
  <si>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</si>
  <si>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</si>
  <si>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</si>
  <si>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</si>
  <si>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</si>
  <si>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</si>
  <si>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</si>
  <si>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</si>
  <si>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'drain': 8,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</si>
  <si>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</si>
  <si>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</si>
  <si>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</si>
  <si>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</si>
  <si>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</si>
  <si>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</si>
  <si>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</si>
  <si>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</si>
  <si>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</si>
  <si>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</si>
  <si>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</si>
  <si>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</si>
  <si>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</si>
  <si>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</si>
  <si>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</si>
  <si>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</si>
  <si>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</si>
  <si>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</si>
  <si>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</si>
  <si>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</si>
  <si>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</si>
  <si>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</si>
  <si>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</si>
  <si>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</si>
  <si>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</si>
  <si>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</si>
  <si>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</si>
  <si>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</si>
  <si>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</si>
  <si>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</si>
  <si>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</si>
  <si>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</si>
  <si>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</si>
  <si>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</si>
  <si>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</si>
  <si>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</si>
  <si>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6</t>
    </r>
  </si>
  <si>
    <t xml:space="preserve">slingshot</t>
  </si>
  <si>
    <t xml:space="preserve">墨弓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</si>
  <si>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</si>
  <si>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</si>
  <si>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</si>
  <si>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</si>
  <si>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</si>
  <si>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</si>
  <si>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</si>
  <si>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</si>
  <si>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</si>
  <si>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</si>
  <si>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</si>
  <si>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</si>
  <si>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</si>
  <si>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</si>
  <si>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</si>
  <si>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</si>
  <si>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</si>
  <si>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</si>
  <si>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</si>
  <si>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</si>
  <si>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</si>
  <si>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</si>
  <si>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</si>
  <si>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</si>
  <si>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</si>
  <si>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</si>
  <si>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</si>
  <si>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</si>
  <si>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</si>
  <si>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</si>
  <si>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</si>
  <si>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</si>
  <si>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</si>
  <si>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</si>
  <si>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</si>
  <si>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</si>
  <si>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</si>
  <si>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</si>
  <si>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</si>
  <si>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</si>
  <si>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</si>
  <si>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</si>
  <si>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</si>
  <si>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</si>
  <si>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</si>
  <si>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</si>
  <si>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</si>
  <si>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</si>
  <si>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edge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</si>
  <si>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</si>
  <si>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</si>
  <si>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</si>
  <si>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</si>
  <si>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</si>
  <si>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</si>
  <si>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</si>
  <si>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</si>
  <si>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</si>
  <si>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</si>
  <si>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</si>
  <si>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</si>
  <si>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</si>
  <si>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</si>
  <si>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</si>
  <si>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</si>
  <si>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</si>
  <si>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</si>
  <si>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</si>
  <si>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</si>
  <si>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</si>
  <si>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</si>
  <si>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</si>
  <si>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</si>
  <si>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</si>
  <si>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</si>
  <si>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</si>
  <si>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</si>
  <si>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</si>
  <si>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</si>
  <si>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</si>
  <si>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</si>
  <si>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</si>
  <si>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</si>
  <si>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</si>
  <si>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</si>
  <si>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</si>
  <si>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</si>
  <si>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</si>
  <si>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</si>
  <si>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</si>
  <si>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</si>
  <si>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</si>
  <si>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</si>
  <si>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</si>
  <si>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</si>
  <si>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</si>
  <si>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</si>
  <si>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</si>
  <si>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</si>
  <si>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</si>
  <si>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</si>
  <si>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</si>
  <si>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</si>
  <si>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</si>
  <si>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</si>
  <si>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</si>
  <si>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</si>
  <si>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</si>
  <si>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</si>
  <si>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</si>
  <si>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</si>
  <si>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</si>
  <si>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</si>
  <si>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</si>
  <si>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</si>
  <si>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</si>
  <si>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</si>
  <si>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</si>
  <si>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</si>
  <si>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</si>
  <si>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</si>
  <si>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</si>
  <si>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</si>
  <si>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</si>
  <si>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</si>
  <si>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</si>
  <si>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</si>
  <si>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</si>
  <si>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</si>
  <si>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</si>
  <si>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</si>
  <si>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</si>
  <si>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</si>
  <si>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</si>
  <si>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</si>
  <si>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</si>
  <si>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</si>
  <si>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</si>
  <si>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</si>
  <si>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</si>
  <si>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</si>
  <si>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</si>
  <si>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</si>
  <si>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</si>
  <si>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</si>
  <si>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</si>
  <si>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</si>
  <si>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</si>
  <si>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</si>
  <si>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</si>
  <si>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</si>
  <si>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</si>
  <si>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</si>
  <si>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</si>
  <si>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</si>
  <si>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</si>
  <si>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</si>
  <si>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</si>
  <si>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</si>
  <si>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</si>
  <si>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</si>
  <si>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</si>
  <si>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</si>
  <si>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</si>
  <si>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</si>
  <si>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</si>
  <si>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</si>
  <si>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</si>
  <si>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</si>
  <si>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</si>
  <si>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</si>
  <si>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</si>
  <si>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</si>
  <si>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</si>
  <si>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</si>
  <si>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</si>
  <si>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</si>
  <si>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</si>
  <si>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</si>
  <si>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</si>
  <si>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</si>
  <si>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</si>
  <si>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</si>
  <si>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</si>
  <si>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</si>
  <si>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</si>
  <si>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</si>
  <si>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</si>
  <si>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</si>
  <si>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</si>
  <si>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</si>
  <si>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</si>
  <si>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</si>
  <si>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</si>
  <si>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</si>
  <si>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</si>
  <si>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</si>
  <si>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</si>
  <si>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</si>
  <si>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</si>
  <si>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</si>
  <si>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</si>
  <si>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</si>
  <si>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</si>
  <si>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</si>
  <si>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</si>
  <si>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</si>
  <si>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</si>
  <si>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</si>
  <si>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</si>
  <si>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</si>
  <si>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</si>
  <si>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</si>
  <si>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</si>
  <si>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</si>
  <si>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</si>
  <si>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</si>
  <si>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</si>
  <si>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</si>
  <si>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</si>
  <si>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</si>
  <si>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</si>
  <si>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</si>
  <si>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</si>
  <si>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</si>
  <si>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</si>
  <si>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</si>
  <si>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</si>
  <si>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</si>
  <si>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</si>
  <si>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</si>
  <si>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</si>
  <si>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</si>
  <si>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一桶天下</t>
  </si>
  <si>
    <r>
      <rPr>
        <sz val="11"/>
        <rFont val="WenQuanYi Zen Hei"/>
        <family val="2"/>
      </rPr>
      <t xml:space="preserve">用油桶爆炸累計炸倒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</si>
  <si>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</si>
  <si>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</si>
  <si>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</si>
  <si>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</si>
  <si>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</si>
  <si>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</si>
  <si>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</si>
  <si>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</si>
  <si>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</si>
  <si>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</si>
  <si>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</si>
  <si>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</si>
  <si>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</si>
  <si>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</si>
  <si>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</si>
  <si>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</si>
  <si>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</si>
  <si>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</si>
  <si>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</si>
  <si>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</si>
  <si>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</si>
  <si>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</si>
  <si>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</si>
  <si>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</si>
  <si>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</si>
  <si>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</si>
  <si>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</si>
  <si>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</si>
  <si>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</si>
  <si>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</si>
  <si>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</si>
  <si>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</si>
  <si>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</si>
  <si>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</si>
  <si>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</si>
  <si>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</si>
  <si>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</si>
  <si>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</si>
  <si>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</si>
  <si>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</si>
  <si>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</si>
  <si>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</si>
  <si>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</si>
  <si>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</si>
  <si>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</si>
  <si>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</si>
  <si>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</si>
  <si>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</si>
  <si>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</si>
  <si>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</si>
  <si>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</si>
  <si>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</si>
  <si>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</si>
  <si>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</si>
  <si>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</si>
  <si>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</si>
  <si>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</si>
  <si>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</si>
  <si>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</si>
  <si>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</si>
  <si>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</si>
  <si>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</si>
  <si>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</si>
  <si>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</si>
  <si>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</si>
  <si>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</si>
  <si>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</si>
  <si>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</si>
  <si>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</si>
  <si>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</si>
  <si>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</si>
  <si>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</si>
  <si>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</si>
  <si>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</si>
  <si>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</si>
  <si>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</si>
  <si>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</si>
  <si>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</si>
  <si>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</si>
  <si>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</si>
  <si>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</si>
  <si>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</si>
  <si>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</si>
  <si>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</si>
  <si>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</si>
  <si>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</si>
  <si>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</si>
  <si>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</si>
  <si>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</si>
  <si>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</si>
  <si>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</si>
  <si>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</si>
  <si>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</si>
  <si>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</si>
  <si>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</si>
  <si>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</si>
  <si>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</si>
  <si>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</si>
  <si>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</si>
  <si>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</si>
  <si>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</si>
  <si>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</si>
  <si>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</si>
  <si>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</si>
  <si>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</si>
  <si>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</si>
  <si>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</si>
  <si>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</si>
  <si>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</si>
  <si>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</si>
  <si>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</si>
  <si>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</si>
  <si>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</si>
  <si>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</si>
  <si>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</si>
  <si>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</si>
  <si>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</si>
  <si>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</si>
  <si>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</si>
  <si>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</si>
  <si>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</si>
  <si>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</si>
  <si>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</si>
  <si>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</si>
  <si>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</si>
  <si>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</si>
  <si>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</si>
  <si>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</si>
  <si>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備用手牌</t>
  </si>
  <si>
    <r>
      <rPr>
        <sz val="11"/>
        <rFont val="WenQuanYi Zen Hei"/>
        <family val="2"/>
      </rPr>
      <t xml:space="preserve">每頁的重抽次數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（可與「備用彈匣」增加的次數累積）；頭目連戰中每場頭目戰算一頁。</t>
    </r>
  </si>
  <si>
    <r>
      <rPr>
        <sz val="11"/>
        <rFont val="Arial"/>
        <family val="0"/>
        <charset val="1"/>
      </rPr>
      <t xml:space="preserve">redraw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</si>
  <si>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紅筆批改</t>
  </si>
  <si>
    <r>
      <rPr>
        <sz val="11"/>
        <rFont val="WenQuanYi Zen Hei"/>
        <family val="2"/>
      </rPr>
      <t xml:space="preserve">對菁英與頭目造成的傷害 </t>
    </r>
    <r>
      <rPr>
        <sz val="11"/>
        <rFont val="Arial"/>
        <family val="0"/>
        <charset val="1"/>
      </rPr>
      <t xml:space="preserve">+10%</t>
    </r>
    <r>
      <rPr>
        <sz val="11"/>
        <rFont val="WenQuanYi Zen Hei"/>
        <family val="2"/>
      </rPr>
      <t xml:space="preserve">，對一般敵人無效。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</si>
  <si>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1.1</t>
    </r>
  </si>
  <si>
    <t xml:space="preserve">計步器</t>
  </si>
  <si>
    <r>
      <rPr>
        <sz val="11"/>
        <rFont val="WenQuanYi Zen Hei"/>
        <family val="2"/>
      </rPr>
      <t xml:space="preserve">有戰鬥的頁面全程沒有扣血時，戰鬥結束回復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點墨水（不超過上限）。紙盾、金光護盾等擋下的傷害不算受傷；商店、休息區、事件等沒有戰鬥的頁面不會觸發。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</si>
  <si>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4</t>
    </r>
  </si>
  <si>
    <t xml:space="preserve">幸運草</t>
  </si>
  <si>
    <r>
      <rPr>
        <sz val="11"/>
        <rFont val="WenQuanYi Zen Hei"/>
        <family val="2"/>
      </rPr>
      <t xml:space="preserve">擊倒敵人時有 </t>
    </r>
    <r>
      <rPr>
        <sz val="11"/>
        <rFont val="Arial"/>
        <family val="0"/>
        <charset val="1"/>
      </rPr>
      <t xml:space="preserve">4% </t>
    </r>
    <r>
      <rPr>
        <sz val="11"/>
        <rFont val="WenQuanYi Zen Hei"/>
        <family val="2"/>
      </rPr>
      <t xml:space="preserve">機率回復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點生命，每頁最多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次（生命全滿時不會觸發）。</t>
    </r>
  </si>
  <si>
    <r>
      <rPr>
        <sz val="11"/>
        <rFont val="Arial"/>
        <family val="0"/>
        <charset val="1"/>
      </rPr>
      <t xml:space="preserve">chance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0.04
</t>
    </r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上限：</t>
    </r>
    <r>
      <rPr>
        <sz val="11"/>
        <rFont val="Arial"/>
        <family val="0"/>
        <charset val="1"/>
      </rPr>
      <t xml:space="preserve">2</t>
    </r>
  </si>
  <si>
    <t xml:space="preserve">小抄</t>
  </si>
  <si>
    <t xml:space="preserve">每頁打出的第一張一般牌不消耗墨水（特殊技不算）；頭目連戰中每場頭目戰各算一次。</t>
  </si>
  <si>
    <t xml:space="preserve">墊板</t>
  </si>
  <si>
    <r>
      <rPr>
        <sz val="11"/>
        <rFont val="WenQuanYi Zen Hei"/>
        <family val="2"/>
      </rPr>
      <t xml:space="preserve">頭目戰開場時墨水回滿，並獲得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片沒有時間限制的紙盾，會一直留到擋下一次傷害為止（和其他紙盾分開計算，總數不超過紙盾上限）。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</si>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</sst>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283.55" hidden="false" customHeight="false" outlineLevel="0" collapsed="false">
      <c r="A9" s="6" t="s">
        <v>426</v>
      </c>
      <c r="B9" s="7" t="s">
        <v>427</v>
      </c>
      <c r="C9" s="7" t="s">
        <v>404</v>
      </c>
      <c r="D9" s="8" t="n">
        <v>40</v>
      </c>
      <c r="E9" s="7" t="n">
        <f aca="false">ROUND(D9*$B$1,0)</f>
        <v>100</v>
      </c>
      <c r="F9" s="8" t="n">
        <v>2.4</v>
      </c>
      <c r="G9" s="8" t="n">
        <v>1</v>
      </c>
      <c r="H9" s="8"/>
      <c r="I9" s="8"/>
      <c r="J9" s="8"/>
      <c r="K9" s="8" t="n">
        <v>1.5</v>
      </c>
      <c r="L9" s="7" t="n">
        <f aca="false">K9*$D$1</f>
        <v>3</v>
      </c>
      <c r="M9" s="8" t="n">
        <v>2</v>
      </c>
      <c r="N9" s="7" t="s">
        <v>428</v>
      </c>
      <c r="O9" s="6" t="s">
        <v>429</v>
      </c>
      <c r="P9" s="10"/>
    </row>
    <row r="10" customFormat="false" ht="122.35" hidden="false" customHeight="false" outlineLevel="0" collapsed="false">
      <c r="A10" s="6" t="s">
        <v>430</v>
      </c>
      <c r="B10" s="7" t="s">
        <v>431</v>
      </c>
      <c r="C10" s="7" t="s">
        <v>423</v>
      </c>
      <c r="D10" s="8" t="n">
        <v>26</v>
      </c>
      <c r="E10" s="7" t="n">
        <f aca="false">ROUND(D10*$B$1,0)</f>
        <v>65</v>
      </c>
      <c r="F10" s="8" t="n">
        <v>6.5</v>
      </c>
      <c r="G10" s="8" t="n">
        <v>1</v>
      </c>
      <c r="H10" s="8"/>
      <c r="I10" s="8"/>
      <c r="J10" s="8"/>
      <c r="K10" s="8" t="n">
        <v>1</v>
      </c>
      <c r="L10" s="7" t="n">
        <f aca="false">K10*$D$1</f>
        <v>2</v>
      </c>
      <c r="M10" s="8" t="n">
        <v>1</v>
      </c>
      <c r="N10" s="7" t="s">
        <v>432</v>
      </c>
      <c r="O10" s="6" t="s">
        <v>433</v>
      </c>
      <c r="P10" s="10"/>
    </row>
    <row r="11" customFormat="false" ht="135.8" hidden="false" customHeight="false" outlineLevel="0" collapsed="false">
      <c r="A11" s="6" t="s">
        <v>434</v>
      </c>
      <c r="B11" s="7" t="s">
        <v>435</v>
      </c>
      <c r="C11" s="7" t="s">
        <v>404</v>
      </c>
      <c r="D11" s="8" t="n">
        <v>36</v>
      </c>
      <c r="E11" s="7" t="n">
        <f aca="false">ROUND(D11*$B$1,0)</f>
        <v>90</v>
      </c>
      <c r="F11" s="8" t="n">
        <v>2.6</v>
      </c>
      <c r="G11" s="8" t="n">
        <v>1</v>
      </c>
      <c r="H11" s="8"/>
      <c r="I11" s="8"/>
      <c r="J11" s="8"/>
      <c r="K11" s="8" t="n">
        <v>1</v>
      </c>
      <c r="L11" s="7" t="n">
        <f aca="false">K11*$D$1</f>
        <v>2</v>
      </c>
      <c r="M11" s="8" t="n">
        <v>2</v>
      </c>
      <c r="N11" s="7" t="s">
        <v>436</v>
      </c>
      <c r="O11" s="6" t="s">
        <v>437</v>
      </c>
      <c r="P11" s="10"/>
    </row>
    <row r="12" customFormat="false" ht="95.5" hidden="false" customHeight="false" outlineLevel="0" collapsed="false">
      <c r="A12" s="6" t="s">
        <v>438</v>
      </c>
      <c r="B12" s="7" t="s">
        <v>439</v>
      </c>
      <c r="C12" s="7" t="s">
        <v>404</v>
      </c>
      <c r="D12" s="8" t="n">
        <v>58</v>
      </c>
      <c r="E12" s="7" t="n">
        <f aca="false">ROUND(D12*$B$1,0)</f>
        <v>145</v>
      </c>
      <c r="F12" s="8" t="n">
        <v>2.2</v>
      </c>
      <c r="G12" s="8" t="n">
        <v>1</v>
      </c>
      <c r="H12" s="8" t="n">
        <v>1</v>
      </c>
      <c r="I12" s="8" t="n">
        <v>6</v>
      </c>
      <c r="J12" s="8" t="s">
        <v>440</v>
      </c>
      <c r="K12" s="8" t="n">
        <v>1</v>
      </c>
      <c r="L12" s="7" t="n">
        <f aca="false">K12*$D$1</f>
        <v>2</v>
      </c>
      <c r="M12" s="8" t="n">
        <v>2</v>
      </c>
      <c r="N12" s="7" t="s">
        <v>441</v>
      </c>
      <c r="O12" s="6" t="s">
        <v>442</v>
      </c>
      <c r="P12" s="10"/>
    </row>
    <row r="13" customFormat="false" ht="122.35" hidden="false" customHeight="false" outlineLevel="0" collapsed="false">
      <c r="A13" s="6" t="s">
        <v>443</v>
      </c>
      <c r="B13" s="7" t="s">
        <v>444</v>
      </c>
      <c r="C13" s="7" t="s">
        <v>404</v>
      </c>
      <c r="D13" s="8" t="n">
        <v>90</v>
      </c>
      <c r="E13" s="7" t="n">
        <f aca="false">ROUND(D13*$B$1,0)</f>
        <v>225</v>
      </c>
      <c r="F13" s="8" t="n">
        <v>2.4</v>
      </c>
      <c r="G13" s="8" t="n">
        <v>1</v>
      </c>
      <c r="H13" s="8"/>
      <c r="I13" s="8"/>
      <c r="J13" s="8"/>
      <c r="K13" s="8" t="n">
        <v>1.5</v>
      </c>
      <c r="L13" s="7" t="n">
        <f aca="false">K13*$D$1</f>
        <v>3</v>
      </c>
      <c r="M13" s="8" t="n">
        <v>2</v>
      </c>
      <c r="N13" s="7" t="s">
        <v>445</v>
      </c>
      <c r="O13" s="6" t="s">
        <v>446</v>
      </c>
      <c r="P13" s="10"/>
    </row>
    <row r="14" customFormat="false" ht="68.65" hidden="false" customHeight="false" outlineLevel="0" collapsed="false">
      <c r="A14" s="6" t="s">
        <v>447</v>
      </c>
      <c r="B14" s="7" t="s">
        <v>409</v>
      </c>
      <c r="C14" s="7" t="s">
        <v>448</v>
      </c>
      <c r="D14" s="8" t="n">
        <v>14</v>
      </c>
      <c r="E14" s="7" t="n">
        <f aca="false">ROUND(D14*$B$1,0)</f>
        <v>35</v>
      </c>
      <c r="F14" s="8" t="n">
        <v>4.2</v>
      </c>
      <c r="G14" s="8" t="n">
        <v>1</v>
      </c>
      <c r="H14" s="8"/>
      <c r="I14" s="8"/>
      <c r="J14" s="8"/>
      <c r="K14" s="8" t="n">
        <v>0.5</v>
      </c>
      <c r="L14" s="7" t="n">
        <f aca="false">K14*$D$1</f>
        <v>1</v>
      </c>
      <c r="M14" s="8" t="n">
        <v>1</v>
      </c>
      <c r="N14" s="7"/>
      <c r="O14" s="6" t="s">
        <v>449</v>
      </c>
      <c r="P14" s="10"/>
    </row>
    <row r="15" customFormat="false" ht="228.35" hidden="false" customHeight="false" outlineLevel="0" collapsed="false">
      <c r="A15" s="11" t="s">
        <v>450</v>
      </c>
      <c r="B15" s="12" t="s">
        <v>451</v>
      </c>
      <c r="C15" s="12" t="s">
        <v>452</v>
      </c>
      <c r="D15" s="13" t="n">
        <v>900</v>
      </c>
      <c r="E15" s="12" t="s">
        <v>453</v>
      </c>
      <c r="F15" s="13" t="n">
        <v>0.8</v>
      </c>
      <c r="G15" s="13" t="n">
        <v>1</v>
      </c>
      <c r="H15" s="13" t="n">
        <v>1</v>
      </c>
      <c r="I15" s="13" t="n">
        <v>7</v>
      </c>
      <c r="J15" s="13"/>
      <c r="K15" s="13" t="n">
        <v>4</v>
      </c>
      <c r="L15" s="11" t="s">
        <v>454</v>
      </c>
      <c r="M15" s="13"/>
      <c r="N15" s="12" t="s">
        <v>455</v>
      </c>
      <c r="O15" s="11" t="s">
        <v>456</v>
      </c>
      <c r="P15" s="10"/>
    </row>
    <row r="16" customFormat="false" ht="174.6" hidden="false" customHeight="false" outlineLevel="0" collapsed="false">
      <c r="A16" s="11" t="s">
        <v>457</v>
      </c>
      <c r="B16" s="12" t="s">
        <v>458</v>
      </c>
      <c r="C16" s="12" t="s">
        <v>452</v>
      </c>
      <c r="D16" s="13" t="n">
        <v>1000</v>
      </c>
      <c r="E16" s="12" t="s">
        <v>453</v>
      </c>
      <c r="F16" s="13" t="n">
        <v>2.2</v>
      </c>
      <c r="G16" s="13" t="n">
        <v>1</v>
      </c>
      <c r="H16" s="13" t="n">
        <v>1</v>
      </c>
      <c r="I16" s="13" t="n">
        <v>8</v>
      </c>
      <c r="J16" s="13"/>
      <c r="K16" s="13" t="n">
        <v>4</v>
      </c>
      <c r="L16" s="11" t="s">
        <v>454</v>
      </c>
      <c r="M16" s="13"/>
      <c r="N16" s="12" t="s">
        <v>459</v>
      </c>
      <c r="O16" s="11" t="s">
        <v>460</v>
      </c>
      <c r="P16" s="10"/>
    </row>
    <row r="17" customFormat="false" ht="108.95" hidden="false" customHeight="false" outlineLevel="0" collapsed="false">
      <c r="A17" s="11" t="s">
        <v>461</v>
      </c>
      <c r="B17" s="12" t="s">
        <v>462</v>
      </c>
      <c r="C17" s="12" t="s">
        <v>452</v>
      </c>
      <c r="D17" s="13" t="n">
        <v>1300</v>
      </c>
      <c r="E17" s="12" t="s">
        <v>453</v>
      </c>
      <c r="F17" s="13" t="n">
        <v>0</v>
      </c>
      <c r="G17" s="13" t="n">
        <v>1</v>
      </c>
      <c r="H17" s="13" t="n">
        <v>1</v>
      </c>
      <c r="I17" s="13" t="n">
        <v>6.5</v>
      </c>
      <c r="J17" s="13"/>
      <c r="K17" s="13" t="n">
        <v>4</v>
      </c>
      <c r="L17" s="11" t="s">
        <v>454</v>
      </c>
      <c r="M17" s="13"/>
      <c r="N17" s="12" t="s">
        <v>463</v>
      </c>
      <c r="O17" s="11" t="s">
        <v>464</v>
      </c>
      <c r="P17" s="10"/>
    </row>
    <row r="18" customFormat="false" ht="331.3" hidden="false" customHeight="false" outlineLevel="0" collapsed="false">
      <c r="A18" s="11" t="s">
        <v>465</v>
      </c>
      <c r="B18" s="12" t="s">
        <v>466</v>
      </c>
      <c r="C18" s="12" t="s">
        <v>452</v>
      </c>
      <c r="D18" s="13" t="n">
        <v>1100</v>
      </c>
      <c r="E18" s="12" t="s">
        <v>453</v>
      </c>
      <c r="F18" s="13" t="n">
        <v>1.4</v>
      </c>
      <c r="G18" s="13" t="n">
        <v>1</v>
      </c>
      <c r="H18" s="13" t="n">
        <v>1</v>
      </c>
      <c r="I18" s="13" t="n">
        <v>7</v>
      </c>
      <c r="J18" s="13"/>
      <c r="K18" s="13" t="n">
        <v>4</v>
      </c>
      <c r="L18" s="11" t="s">
        <v>454</v>
      </c>
      <c r="M18" s="13"/>
      <c r="N18" s="12" t="s">
        <v>467</v>
      </c>
      <c r="O18" s="11" t="s">
        <v>468</v>
      </c>
      <c r="P18" s="10"/>
    </row>
    <row r="19" customFormat="false" ht="252.2" hidden="false" customHeight="false" outlineLevel="0" collapsed="false">
      <c r="A19" s="11" t="s">
        <v>469</v>
      </c>
      <c r="B19" s="12" t="s">
        <v>470</v>
      </c>
      <c r="C19" s="12" t="s">
        <v>452</v>
      </c>
      <c r="D19" s="13" t="n">
        <v>1300</v>
      </c>
      <c r="E19" s="12" t="s">
        <v>453</v>
      </c>
      <c r="F19" s="13" t="n">
        <v>0</v>
      </c>
      <c r="G19" s="13" t="n">
        <v>1</v>
      </c>
      <c r="H19" s="13" t="n">
        <v>1</v>
      </c>
      <c r="I19" s="13" t="n">
        <v>7</v>
      </c>
      <c r="J19" s="13"/>
      <c r="K19" s="13" t="n">
        <v>5</v>
      </c>
      <c r="L19" s="11" t="s">
        <v>454</v>
      </c>
      <c r="M19" s="13"/>
      <c r="N19" s="12" t="s">
        <v>471</v>
      </c>
      <c r="O19" s="11" t="s">
        <v>472</v>
      </c>
      <c r="P19" s="10"/>
    </row>
    <row r="20" customFormat="false" ht="381.3" hidden="false" customHeight="false" outlineLevel="0" collapsed="false">
      <c r="A20" s="11" t="s">
        <v>473</v>
      </c>
      <c r="B20" s="12" t="s">
        <v>474</v>
      </c>
      <c r="C20" s="12" t="s">
        <v>452</v>
      </c>
      <c r="D20" s="13" t="n">
        <v>1300</v>
      </c>
      <c r="E20" s="12" t="s">
        <v>453</v>
      </c>
      <c r="F20" s="13" t="n">
        <v>0</v>
      </c>
      <c r="G20" s="13" t="n">
        <v>1</v>
      </c>
      <c r="H20" s="13" t="n">
        <v>1</v>
      </c>
      <c r="I20" s="13"/>
      <c r="J20" s="13"/>
      <c r="K20" s="13" t="n">
        <v>4</v>
      </c>
      <c r="L20" s="11" t="s">
        <v>454</v>
      </c>
      <c r="M20" s="13"/>
      <c r="N20" s="12" t="s">
        <v>475</v>
      </c>
      <c r="O20" s="11" t="s">
        <v>476</v>
      </c>
      <c r="P20" s="10"/>
    </row>
    <row r="21" customFormat="false" ht="15" hidden="false" customHeight="false" outlineLevel="0" collapsed="false">
      <c r="A21" s="6" t="s">
        <v>477</v>
      </c>
      <c r="B21" s="7" t="s">
        <v>478</v>
      </c>
      <c r="C21" s="7" t="s">
        <v>404</v>
      </c>
      <c r="D21" s="8" t="n">
        <v>45</v>
      </c>
      <c r="E21" s="7" t="n">
        <f aca="false">ROUND(D21*$B$1,0)</f>
        <v>113</v>
      </c>
      <c r="F21" s="8" t="n">
        <v>0</v>
      </c>
      <c r="G21" s="8" t="n">
        <v>0</v>
      </c>
      <c r="H21" s="8"/>
      <c r="I21" s="8"/>
      <c r="J21" s="8"/>
      <c r="K21" s="8" t="n">
        <v>0.5</v>
      </c>
      <c r="L21" s="7" t="n">
        <f aca="false">K21*$D$1</f>
        <v>1</v>
      </c>
      <c r="M21" s="8" t="n">
        <v>0</v>
      </c>
      <c r="N21" s="7"/>
      <c r="O21" s="6" t="s">
        <v>479</v>
      </c>
      <c r="P21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480</v>
      </c>
      <c r="E1" s="5" t="s">
        <v>481</v>
      </c>
      <c r="F1" s="5" t="s">
        <v>482</v>
      </c>
      <c r="G1" s="5" t="s">
        <v>396</v>
      </c>
      <c r="H1" s="5" t="s">
        <v>483</v>
      </c>
      <c r="I1" s="5" t="s">
        <v>484</v>
      </c>
      <c r="J1" s="5" t="s">
        <v>395</v>
      </c>
      <c r="K1" s="5" t="s">
        <v>485</v>
      </c>
      <c r="L1" s="5" t="s">
        <v>486</v>
      </c>
      <c r="M1" s="5" t="s">
        <v>487</v>
      </c>
      <c r="N1" s="5" t="s">
        <v>488</v>
      </c>
      <c r="O1" s="5" t="s">
        <v>32</v>
      </c>
    </row>
    <row r="2" customFormat="false" ht="15" hidden="false" customHeight="false" outlineLevel="0" collapsed="false">
      <c r="A2" s="6" t="s">
        <v>489</v>
      </c>
      <c r="B2" s="7" t="s">
        <v>490</v>
      </c>
      <c r="C2" s="8" t="n">
        <v>1</v>
      </c>
      <c r="D2" s="7" t="s">
        <v>491</v>
      </c>
      <c r="E2" s="8" t="n">
        <v>10</v>
      </c>
      <c r="F2" s="8" t="n">
        <v>1</v>
      </c>
      <c r="G2" s="8" t="n">
        <v>0.15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66.7</v>
      </c>
      <c r="N2" s="7"/>
      <c r="O2" s="10"/>
    </row>
    <row r="3" customFormat="false" ht="15" hidden="false" customHeight="false" outlineLevel="0" collapsed="false">
      <c r="A3" s="6" t="s">
        <v>492</v>
      </c>
      <c r="B3" s="7" t="s">
        <v>493</v>
      </c>
      <c r="C3" s="8" t="n">
        <v>3</v>
      </c>
      <c r="D3" s="7" t="s">
        <v>494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495</v>
      </c>
      <c r="B4" s="7" t="s">
        <v>496</v>
      </c>
      <c r="C4" s="8" t="n">
        <v>5</v>
      </c>
      <c r="D4" s="7" t="s">
        <v>497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498</v>
      </c>
      <c r="O4" s="10"/>
    </row>
    <row r="5" customFormat="false" ht="28.35" hidden="false" customHeight="false" outlineLevel="0" collapsed="false">
      <c r="A5" s="6" t="s">
        <v>499</v>
      </c>
      <c r="B5" s="7" t="s">
        <v>500</v>
      </c>
      <c r="C5" s="8" t="n">
        <v>7</v>
      </c>
      <c r="D5" s="7" t="s">
        <v>501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502</v>
      </c>
      <c r="O5" s="10"/>
    </row>
    <row r="6" customFormat="false" ht="55.2" hidden="false" customHeight="false" outlineLevel="0" collapsed="false">
      <c r="A6" s="6" t="s">
        <v>503</v>
      </c>
      <c r="B6" s="7" t="s">
        <v>504</v>
      </c>
      <c r="C6" s="8" t="n">
        <v>9</v>
      </c>
      <c r="D6" s="7" t="s">
        <v>505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454</v>
      </c>
      <c r="K6" s="8" t="s">
        <v>454</v>
      </c>
      <c r="L6" s="8" t="n">
        <v>0</v>
      </c>
      <c r="M6" s="7" t="n">
        <f aca="false">ROUND(E6*F6/G6,1)</f>
        <v>50</v>
      </c>
      <c r="N6" s="7" t="s">
        <v>506</v>
      </c>
      <c r="O6" s="10"/>
    </row>
    <row r="7" customFormat="false" ht="82.05" hidden="false" customHeight="false" outlineLevel="0" collapsed="false">
      <c r="A7" s="6" t="s">
        <v>438</v>
      </c>
      <c r="B7" s="7" t="s">
        <v>507</v>
      </c>
      <c r="C7" s="8" t="n">
        <v>12</v>
      </c>
      <c r="D7" s="7" t="s">
        <v>508</v>
      </c>
      <c r="E7" s="8" t="n">
        <v>20</v>
      </c>
      <c r="F7" s="8" t="n">
        <v>1</v>
      </c>
      <c r="G7" s="8" t="n">
        <v>1.5</v>
      </c>
      <c r="H7" s="8" t="s">
        <v>454</v>
      </c>
      <c r="I7" s="8" t="s">
        <v>454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509</v>
      </c>
      <c r="O7" s="10"/>
    </row>
    <row r="8" customFormat="false" ht="28.35" hidden="false" customHeight="false" outlineLevel="0" collapsed="false">
      <c r="A8" s="6" t="s">
        <v>510</v>
      </c>
      <c r="B8" s="7" t="s">
        <v>511</v>
      </c>
      <c r="C8" s="8" t="n">
        <v>15</v>
      </c>
      <c r="D8" s="7" t="s">
        <v>512</v>
      </c>
      <c r="E8" s="8" t="n">
        <v>6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40</v>
      </c>
      <c r="N8" s="7" t="s">
        <v>513</v>
      </c>
      <c r="O8" s="10"/>
    </row>
    <row r="9" customFormat="false" ht="15" hidden="false" customHeight="false" outlineLevel="0" collapsed="false">
      <c r="A9" s="6" t="s">
        <v>514</v>
      </c>
      <c r="B9" s="7" t="s">
        <v>515</v>
      </c>
      <c r="C9" s="8" t="n">
        <v>18</v>
      </c>
      <c r="D9" s="7" t="s">
        <v>516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517</v>
      </c>
      <c r="B1" s="5" t="s">
        <v>18</v>
      </c>
      <c r="C1" s="5" t="s">
        <v>518</v>
      </c>
      <c r="D1" s="5" t="s">
        <v>519</v>
      </c>
      <c r="E1" s="5" t="s">
        <v>520</v>
      </c>
      <c r="F1" s="5" t="s">
        <v>32</v>
      </c>
    </row>
    <row r="2" customFormat="false" ht="82.05" hidden="false" customHeight="false" outlineLevel="0" collapsed="false">
      <c r="A2" s="6" t="s">
        <v>521</v>
      </c>
      <c r="B2" s="7" t="s">
        <v>522</v>
      </c>
      <c r="C2" s="7" t="s">
        <v>523</v>
      </c>
      <c r="D2" s="7" t="s">
        <v>524</v>
      </c>
      <c r="E2" s="9" t="s">
        <v>525</v>
      </c>
      <c r="F2" s="10"/>
    </row>
    <row r="3" customFormat="false" ht="41.75" hidden="false" customHeight="false" outlineLevel="0" collapsed="false">
      <c r="A3" s="6" t="s">
        <v>526</v>
      </c>
      <c r="B3" s="7" t="s">
        <v>527</v>
      </c>
      <c r="C3" s="7" t="s">
        <v>528</v>
      </c>
      <c r="D3" s="7" t="s">
        <v>529</v>
      </c>
      <c r="E3" s="9" t="s">
        <v>530</v>
      </c>
      <c r="F3" s="10"/>
    </row>
    <row r="4" customFormat="false" ht="95.5" hidden="false" customHeight="false" outlineLevel="0" collapsed="false">
      <c r="A4" s="6" t="s">
        <v>531</v>
      </c>
      <c r="B4" s="7" t="s">
        <v>532</v>
      </c>
      <c r="C4" s="7" t="s">
        <v>533</v>
      </c>
      <c r="D4" s="7" t="s">
        <v>534</v>
      </c>
      <c r="E4" s="9" t="s">
        <v>535</v>
      </c>
      <c r="F4" s="10"/>
    </row>
    <row r="5" customFormat="false" ht="68.65" hidden="false" customHeight="false" outlineLevel="0" collapsed="false">
      <c r="A5" s="6" t="s">
        <v>536</v>
      </c>
      <c r="B5" s="7" t="s">
        <v>537</v>
      </c>
      <c r="C5" s="7" t="s">
        <v>82</v>
      </c>
      <c r="D5" s="7" t="s">
        <v>538</v>
      </c>
      <c r="E5" s="9" t="s">
        <v>539</v>
      </c>
      <c r="F5" s="10"/>
    </row>
    <row r="6" customFormat="false" ht="108.95" hidden="false" customHeight="false" outlineLevel="0" collapsed="false">
      <c r="A6" s="6" t="s">
        <v>540</v>
      </c>
      <c r="B6" s="7" t="s">
        <v>541</v>
      </c>
      <c r="C6" s="7" t="s">
        <v>542</v>
      </c>
      <c r="D6" s="7" t="s">
        <v>543</v>
      </c>
      <c r="E6" s="9" t="s">
        <v>544</v>
      </c>
      <c r="F6" s="10"/>
    </row>
    <row r="7" customFormat="false" ht="68.65" hidden="false" customHeight="false" outlineLevel="0" collapsed="false">
      <c r="A7" s="6" t="s">
        <v>545</v>
      </c>
      <c r="B7" s="7" t="s">
        <v>546</v>
      </c>
      <c r="C7" s="7" t="s">
        <v>547</v>
      </c>
      <c r="D7" s="7" t="s">
        <v>548</v>
      </c>
      <c r="E7" s="9" t="s">
        <v>549</v>
      </c>
      <c r="F7" s="10"/>
    </row>
    <row r="8" customFormat="false" ht="82.05" hidden="false" customHeight="false" outlineLevel="0" collapsed="false">
      <c r="A8" s="6" t="s">
        <v>550</v>
      </c>
      <c r="B8" s="7" t="s">
        <v>551</v>
      </c>
      <c r="C8" s="7" t="s">
        <v>552</v>
      </c>
      <c r="D8" s="6" t="s">
        <v>553</v>
      </c>
      <c r="E8" s="9" t="s">
        <v>554</v>
      </c>
      <c r="F8" s="10"/>
    </row>
    <row r="9" customFormat="false" ht="82.05" hidden="false" customHeight="false" outlineLevel="0" collapsed="false">
      <c r="A9" s="6" t="s">
        <v>555</v>
      </c>
      <c r="B9" s="7" t="s">
        <v>556</v>
      </c>
      <c r="C9" s="7" t="s">
        <v>557</v>
      </c>
      <c r="D9" s="7" t="s">
        <v>558</v>
      </c>
      <c r="E9" s="9" t="s">
        <v>559</v>
      </c>
      <c r="F9" s="10"/>
    </row>
    <row r="10" customFormat="false" ht="216.4" hidden="false" customHeight="false" outlineLevel="0" collapsed="false">
      <c r="A10" s="6" t="s">
        <v>560</v>
      </c>
      <c r="B10" s="7" t="s">
        <v>561</v>
      </c>
      <c r="C10" s="7" t="s">
        <v>562</v>
      </c>
      <c r="D10" s="7" t="s">
        <v>563</v>
      </c>
      <c r="E10" s="9" t="s">
        <v>564</v>
      </c>
      <c r="F10" s="10"/>
    </row>
    <row r="11" customFormat="false" ht="95.5" hidden="false" customHeight="false" outlineLevel="0" collapsed="false">
      <c r="A11" s="6" t="s">
        <v>565</v>
      </c>
      <c r="B11" s="7" t="s">
        <v>566</v>
      </c>
      <c r="C11" s="7" t="s">
        <v>567</v>
      </c>
      <c r="D11" s="7" t="s">
        <v>568</v>
      </c>
      <c r="E11" s="9" t="s">
        <v>569</v>
      </c>
      <c r="F11" s="10"/>
    </row>
    <row r="12" customFormat="false" ht="162.65" hidden="false" customHeight="false" outlineLevel="0" collapsed="false">
      <c r="A12" s="6" t="s">
        <v>570</v>
      </c>
      <c r="B12" s="7" t="s">
        <v>571</v>
      </c>
      <c r="C12" s="7" t="s">
        <v>571</v>
      </c>
      <c r="D12" s="7" t="s">
        <v>572</v>
      </c>
      <c r="E12" s="9" t="s">
        <v>573</v>
      </c>
      <c r="F12" s="10"/>
    </row>
    <row r="13" customFormat="false" ht="108.95" hidden="false" customHeight="false" outlineLevel="0" collapsed="false">
      <c r="A13" s="6" t="s">
        <v>574</v>
      </c>
      <c r="B13" s="7" t="s">
        <v>575</v>
      </c>
      <c r="C13" s="7" t="s">
        <v>576</v>
      </c>
      <c r="D13" s="7" t="s">
        <v>577</v>
      </c>
      <c r="E13" s="9" t="s">
        <v>578</v>
      </c>
      <c r="F13" s="10"/>
    </row>
    <row r="14" customFormat="false" ht="108.95" hidden="false" customHeight="false" outlineLevel="0" collapsed="false">
      <c r="A14" s="6" t="s">
        <v>579</v>
      </c>
      <c r="B14" s="7" t="s">
        <v>580</v>
      </c>
      <c r="C14" s="7" t="s">
        <v>581</v>
      </c>
      <c r="D14" s="7" t="s">
        <v>582</v>
      </c>
      <c r="E14" s="9" t="s">
        <v>583</v>
      </c>
      <c r="F14" s="10"/>
    </row>
    <row r="15" customFormat="false" ht="135.8" hidden="false" customHeight="false" outlineLevel="0" collapsed="false">
      <c r="A15" s="6" t="s">
        <v>584</v>
      </c>
      <c r="B15" s="7" t="s">
        <v>585</v>
      </c>
      <c r="C15" s="7" t="s">
        <v>586</v>
      </c>
      <c r="D15" s="7" t="s">
        <v>587</v>
      </c>
      <c r="E15" s="9" t="s">
        <v>588</v>
      </c>
      <c r="F15" s="10"/>
    </row>
    <row r="16" customFormat="false" ht="108.95" hidden="false" customHeight="false" outlineLevel="0" collapsed="false">
      <c r="A16" s="6" t="s">
        <v>589</v>
      </c>
      <c r="B16" s="7" t="s">
        <v>590</v>
      </c>
      <c r="C16" s="7" t="s">
        <v>591</v>
      </c>
      <c r="D16" s="7" t="s">
        <v>592</v>
      </c>
      <c r="E16" s="9" t="s">
        <v>593</v>
      </c>
      <c r="F16" s="10"/>
    </row>
    <row r="17" customFormat="false" ht="135.8" hidden="false" customHeight="false" outlineLevel="0" collapsed="false">
      <c r="A17" s="6" t="s">
        <v>594</v>
      </c>
      <c r="B17" s="7" t="s">
        <v>595</v>
      </c>
      <c r="C17" s="7" t="s">
        <v>596</v>
      </c>
      <c r="D17" s="7" t="s">
        <v>597</v>
      </c>
      <c r="E17" s="8" t="s">
        <v>598</v>
      </c>
      <c r="F17" s="10"/>
    </row>
    <row r="18" customFormat="false" ht="377.6" hidden="false" customHeight="false" outlineLevel="0" collapsed="false">
      <c r="A18" s="6" t="s">
        <v>599</v>
      </c>
      <c r="B18" s="7" t="s">
        <v>600</v>
      </c>
      <c r="C18" s="7" t="s">
        <v>601</v>
      </c>
      <c r="D18" s="7" t="s">
        <v>602</v>
      </c>
      <c r="E18" s="9" t="s">
        <v>603</v>
      </c>
      <c r="F18" s="10"/>
    </row>
    <row r="19" customFormat="false" ht="162.65" hidden="false" customHeight="false" outlineLevel="0" collapsed="false">
      <c r="A19" s="6" t="s">
        <v>604</v>
      </c>
      <c r="B19" s="7" t="s">
        <v>605</v>
      </c>
      <c r="C19" s="7" t="s">
        <v>606</v>
      </c>
      <c r="D19" s="7" t="s">
        <v>607</v>
      </c>
      <c r="E19" s="9" t="s">
        <v>608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609</v>
      </c>
      <c r="C1" s="5" t="s">
        <v>610</v>
      </c>
      <c r="D1" s="5" t="s">
        <v>611</v>
      </c>
      <c r="E1" s="5" t="s">
        <v>32</v>
      </c>
    </row>
    <row r="2" customFormat="false" ht="15" hidden="false" customHeight="false" outlineLevel="0" collapsed="false">
      <c r="A2" s="7" t="s">
        <v>612</v>
      </c>
      <c r="B2" s="8" t="n">
        <v>3</v>
      </c>
      <c r="C2" s="7" t="s">
        <v>613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612</v>
      </c>
      <c r="B3" s="8" t="n">
        <v>2</v>
      </c>
      <c r="C3" s="7" t="s">
        <v>614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612</v>
      </c>
      <c r="B4" s="8" t="n">
        <v>3</v>
      </c>
      <c r="C4" s="7" t="s">
        <v>615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612</v>
      </c>
      <c r="B5" s="8" t="n">
        <v>1</v>
      </c>
      <c r="C5" s="7" t="s">
        <v>616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612</v>
      </c>
      <c r="B6" s="8" t="n">
        <v>2</v>
      </c>
      <c r="C6" s="7" t="s">
        <v>617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612</v>
      </c>
      <c r="B7" s="8" t="n">
        <v>1</v>
      </c>
      <c r="C7" s="7" t="s">
        <v>618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612</v>
      </c>
      <c r="B8" s="8" t="n">
        <v>1</v>
      </c>
      <c r="C8" s="7" t="s">
        <v>619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612</v>
      </c>
      <c r="B9" s="8" t="n">
        <v>2</v>
      </c>
      <c r="C9" s="7" t="s">
        <v>620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612</v>
      </c>
      <c r="B10" s="8" t="n">
        <v>1</v>
      </c>
      <c r="C10" s="7" t="s">
        <v>621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612</v>
      </c>
      <c r="B11" s="8" t="n">
        <v>2</v>
      </c>
      <c r="C11" s="7" t="s">
        <v>622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612</v>
      </c>
      <c r="B12" s="8" t="n">
        <v>1</v>
      </c>
      <c r="C12" s="7" t="s">
        <v>623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612</v>
      </c>
      <c r="B13" s="8" t="n">
        <v>1</v>
      </c>
      <c r="C13" s="7" t="s">
        <v>624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625</v>
      </c>
      <c r="B14" s="8" t="n">
        <v>3</v>
      </c>
      <c r="C14" s="7" t="s">
        <v>626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625</v>
      </c>
      <c r="B15" s="8" t="n">
        <v>1</v>
      </c>
      <c r="C15" s="7" t="s">
        <v>627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625</v>
      </c>
      <c r="B16" s="8" t="n">
        <v>3</v>
      </c>
      <c r="C16" s="7" t="s">
        <v>628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625</v>
      </c>
      <c r="B17" s="8" t="n">
        <v>2</v>
      </c>
      <c r="C17" s="7" t="s">
        <v>629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625</v>
      </c>
      <c r="B18" s="8" t="n">
        <v>2</v>
      </c>
      <c r="C18" s="7" t="s">
        <v>630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625</v>
      </c>
      <c r="B19" s="8" t="n">
        <v>2</v>
      </c>
      <c r="C19" s="7" t="s">
        <v>631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625</v>
      </c>
      <c r="B20" s="8" t="n">
        <v>1</v>
      </c>
      <c r="C20" s="7" t="s">
        <v>632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625</v>
      </c>
      <c r="B21" s="8" t="n">
        <v>1</v>
      </c>
      <c r="C21" s="7" t="s">
        <v>633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625</v>
      </c>
      <c r="B22" s="8" t="n">
        <v>1</v>
      </c>
      <c r="C22" s="7" t="s">
        <v>634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635</v>
      </c>
      <c r="B1" s="5" t="s">
        <v>18</v>
      </c>
      <c r="C1" s="5" t="s">
        <v>636</v>
      </c>
      <c r="D1" s="5" t="s">
        <v>637</v>
      </c>
      <c r="E1" s="5" t="s">
        <v>32</v>
      </c>
    </row>
    <row r="2" customFormat="false" ht="15" hidden="false" customHeight="false" outlineLevel="0" collapsed="false">
      <c r="A2" s="7" t="s">
        <v>638</v>
      </c>
      <c r="B2" s="7" t="s">
        <v>639</v>
      </c>
      <c r="C2" s="7" t="s">
        <v>640</v>
      </c>
      <c r="D2" s="8" t="n">
        <v>2</v>
      </c>
      <c r="E2" s="10"/>
    </row>
    <row r="3" customFormat="false" ht="15" hidden="false" customHeight="false" outlineLevel="0" collapsed="false">
      <c r="A3" s="7" t="s">
        <v>638</v>
      </c>
      <c r="B3" s="7" t="s">
        <v>641</v>
      </c>
      <c r="C3" s="7" t="s">
        <v>642</v>
      </c>
      <c r="D3" s="8" t="n">
        <v>5</v>
      </c>
      <c r="E3" s="10"/>
    </row>
    <row r="4" customFormat="false" ht="15" hidden="false" customHeight="false" outlineLevel="0" collapsed="false">
      <c r="A4" s="7" t="s">
        <v>638</v>
      </c>
      <c r="B4" s="7" t="s">
        <v>643</v>
      </c>
      <c r="C4" s="7" t="s">
        <v>644</v>
      </c>
      <c r="D4" s="8" t="n">
        <v>25</v>
      </c>
      <c r="E4" s="10"/>
    </row>
    <row r="5" customFormat="false" ht="15" hidden="false" customHeight="false" outlineLevel="0" collapsed="false">
      <c r="A5" s="7" t="s">
        <v>645</v>
      </c>
      <c r="B5" s="7" t="s">
        <v>646</v>
      </c>
      <c r="C5" s="7" t="s">
        <v>647</v>
      </c>
      <c r="D5" s="8" t="n">
        <v>1</v>
      </c>
      <c r="E5" s="10"/>
    </row>
    <row r="6" customFormat="false" ht="15" hidden="false" customHeight="false" outlineLevel="0" collapsed="false">
      <c r="A6" s="7" t="s">
        <v>645</v>
      </c>
      <c r="B6" s="7" t="s">
        <v>648</v>
      </c>
      <c r="C6" s="7" t="s">
        <v>649</v>
      </c>
      <c r="D6" s="8" t="n">
        <v>10</v>
      </c>
      <c r="E6" s="10"/>
    </row>
    <row r="7" customFormat="false" ht="15" hidden="false" customHeight="false" outlineLevel="0" collapsed="false">
      <c r="A7" s="7" t="s">
        <v>645</v>
      </c>
      <c r="B7" s="7" t="s">
        <v>650</v>
      </c>
      <c r="C7" s="7" t="s">
        <v>651</v>
      </c>
      <c r="D7" s="8" t="n">
        <v>2.5</v>
      </c>
      <c r="E7" s="10"/>
    </row>
    <row r="8" customFormat="false" ht="15" hidden="false" customHeight="false" outlineLevel="0" collapsed="false">
      <c r="A8" s="7" t="s">
        <v>652</v>
      </c>
      <c r="B8" s="7" t="s">
        <v>653</v>
      </c>
      <c r="C8" s="7" t="s">
        <v>654</v>
      </c>
      <c r="D8" s="8" t="n">
        <v>5</v>
      </c>
      <c r="E8" s="10"/>
    </row>
    <row r="9" customFormat="false" ht="15" hidden="false" customHeight="false" outlineLevel="0" collapsed="false">
      <c r="A9" s="7" t="s">
        <v>652</v>
      </c>
      <c r="B9" s="7" t="s">
        <v>655</v>
      </c>
      <c r="C9" s="7" t="s">
        <v>656</v>
      </c>
      <c r="D9" s="8" t="n">
        <v>2</v>
      </c>
      <c r="E9" s="10"/>
    </row>
    <row r="10" customFormat="false" ht="15" hidden="false" customHeight="false" outlineLevel="0" collapsed="false">
      <c r="A10" s="7" t="s">
        <v>652</v>
      </c>
      <c r="B10" s="7" t="s">
        <v>657</v>
      </c>
      <c r="C10" s="7" t="s">
        <v>658</v>
      </c>
      <c r="D10" s="8" t="n">
        <v>0.25</v>
      </c>
      <c r="E10" s="10"/>
    </row>
    <row r="11" customFormat="false" ht="15" hidden="false" customHeight="false" outlineLevel="0" collapsed="false">
      <c r="A11" s="7" t="s">
        <v>652</v>
      </c>
      <c r="B11" s="7" t="s">
        <v>659</v>
      </c>
      <c r="C11" s="7" t="s">
        <v>660</v>
      </c>
      <c r="D11" s="8" t="n">
        <v>10</v>
      </c>
      <c r="E11" s="10"/>
    </row>
    <row r="12" customFormat="false" ht="15" hidden="false" customHeight="false" outlineLevel="0" collapsed="false">
      <c r="A12" s="7" t="s">
        <v>652</v>
      </c>
      <c r="B12" s="7" t="s">
        <v>661</v>
      </c>
      <c r="C12" s="7" t="s">
        <v>660</v>
      </c>
      <c r="D12" s="8" t="n">
        <v>2</v>
      </c>
      <c r="E12" s="10"/>
    </row>
    <row r="13" customFormat="false" ht="15" hidden="false" customHeight="false" outlineLevel="0" collapsed="false">
      <c r="A13" s="7" t="s">
        <v>652</v>
      </c>
      <c r="B13" s="7" t="s">
        <v>662</v>
      </c>
      <c r="C13" s="7" t="s">
        <v>663</v>
      </c>
      <c r="D13" s="8" t="s">
        <v>664</v>
      </c>
      <c r="E13" s="10"/>
    </row>
    <row r="14" customFormat="false" ht="15" hidden="false" customHeight="false" outlineLevel="0" collapsed="false">
      <c r="A14" s="7" t="s">
        <v>665</v>
      </c>
      <c r="B14" s="7" t="s">
        <v>666</v>
      </c>
      <c r="C14" s="7" t="s">
        <v>667</v>
      </c>
      <c r="D14" s="8" t="n">
        <v>0.35</v>
      </c>
      <c r="E14" s="10"/>
    </row>
    <row r="15" customFormat="false" ht="15" hidden="false" customHeight="false" outlineLevel="0" collapsed="false">
      <c r="A15" s="7" t="s">
        <v>665</v>
      </c>
      <c r="B15" s="7" t="s">
        <v>668</v>
      </c>
      <c r="C15" s="7" t="s">
        <v>669</v>
      </c>
      <c r="D15" s="8" t="s">
        <v>670</v>
      </c>
      <c r="E15" s="10"/>
    </row>
    <row r="16" customFormat="false" ht="15" hidden="false" customHeight="false" outlineLevel="0" collapsed="false">
      <c r="A16" s="7" t="s">
        <v>652</v>
      </c>
      <c r="B16" s="7" t="s">
        <v>671</v>
      </c>
      <c r="C16" s="7" t="s">
        <v>672</v>
      </c>
      <c r="D16" s="8" t="n">
        <v>1</v>
      </c>
      <c r="E16" s="10"/>
    </row>
    <row r="17" customFormat="false" ht="15" hidden="false" customHeight="false" outlineLevel="0" collapsed="false">
      <c r="A17" s="7" t="s">
        <v>673</v>
      </c>
      <c r="B17" s="7" t="s">
        <v>674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673</v>
      </c>
      <c r="B18" s="7" t="s">
        <v>675</v>
      </c>
      <c r="C18" s="7" t="s">
        <v>676</v>
      </c>
      <c r="D18" s="8" t="n">
        <v>5</v>
      </c>
      <c r="E18" s="10"/>
    </row>
    <row r="19" customFormat="false" ht="15" hidden="false" customHeight="false" outlineLevel="0" collapsed="false">
      <c r="A19" s="7" t="s">
        <v>673</v>
      </c>
      <c r="B19" s="7" t="s">
        <v>677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673</v>
      </c>
      <c r="B20" s="7" t="s">
        <v>678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673</v>
      </c>
      <c r="B21" s="7" t="s">
        <v>679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680</v>
      </c>
      <c r="B22" s="7" t="s">
        <v>681</v>
      </c>
      <c r="C22" s="7" t="s">
        <v>682</v>
      </c>
      <c r="D22" s="8" t="n">
        <v>60000</v>
      </c>
      <c r="E22" s="10"/>
    </row>
    <row r="23" customFormat="false" ht="15" hidden="false" customHeight="false" outlineLevel="0" collapsed="false">
      <c r="A23" s="7" t="s">
        <v>680</v>
      </c>
      <c r="B23" s="7" t="s">
        <v>683</v>
      </c>
      <c r="C23" s="7" t="s">
        <v>684</v>
      </c>
      <c r="D23" s="8" t="n">
        <v>45000</v>
      </c>
      <c r="E23" s="10"/>
    </row>
    <row r="24" customFormat="false" ht="15" hidden="false" customHeight="false" outlineLevel="0" collapsed="false">
      <c r="A24" s="7" t="s">
        <v>680</v>
      </c>
      <c r="B24" s="7" t="s">
        <v>685</v>
      </c>
      <c r="C24" s="7" t="s">
        <v>686</v>
      </c>
      <c r="D24" s="8" t="n">
        <v>35000</v>
      </c>
      <c r="E24" s="10"/>
    </row>
    <row r="25" customFormat="false" ht="15" hidden="false" customHeight="false" outlineLevel="0" collapsed="false">
      <c r="A25" s="7" t="s">
        <v>680</v>
      </c>
      <c r="B25" s="7" t="s">
        <v>687</v>
      </c>
      <c r="C25" s="7" t="s">
        <v>688</v>
      </c>
      <c r="D25" s="8" t="n">
        <v>20000</v>
      </c>
      <c r="E25" s="10"/>
    </row>
    <row r="26" customFormat="false" ht="15" hidden="false" customHeight="false" outlineLevel="0" collapsed="false">
      <c r="A26" s="7" t="s">
        <v>680</v>
      </c>
      <c r="B26" s="7" t="s">
        <v>689</v>
      </c>
      <c r="C26" s="7" t="s">
        <v>690</v>
      </c>
      <c r="D26" s="8" t="n">
        <v>10000</v>
      </c>
      <c r="E26" s="10"/>
    </row>
    <row r="27" customFormat="false" ht="15" hidden="false" customHeight="false" outlineLevel="0" collapsed="false">
      <c r="A27" s="7" t="s">
        <v>680</v>
      </c>
      <c r="B27" s="7" t="s">
        <v>691</v>
      </c>
      <c r="C27" s="7" t="s">
        <v>692</v>
      </c>
      <c r="D27" s="8" t="n">
        <v>5000</v>
      </c>
      <c r="E27" s="10"/>
    </row>
    <row r="28" customFormat="false" ht="15" hidden="false" customHeight="false" outlineLevel="0" collapsed="false">
      <c r="A28" s="7" t="s">
        <v>680</v>
      </c>
      <c r="B28" s="7" t="s">
        <v>693</v>
      </c>
      <c r="C28" s="7" t="s">
        <v>682</v>
      </c>
      <c r="D28" s="8" t="n">
        <v>60000</v>
      </c>
      <c r="E28" s="10"/>
    </row>
    <row r="29" customFormat="false" ht="15" hidden="false" customHeight="false" outlineLevel="0" collapsed="false">
      <c r="A29" s="7" t="s">
        <v>680</v>
      </c>
      <c r="B29" s="7" t="s">
        <v>694</v>
      </c>
      <c r="C29" s="7" t="s">
        <v>684</v>
      </c>
      <c r="D29" s="8" t="n">
        <v>45000</v>
      </c>
      <c r="E29" s="10"/>
    </row>
    <row r="30" customFormat="false" ht="15" hidden="false" customHeight="false" outlineLevel="0" collapsed="false">
      <c r="A30" s="7" t="s">
        <v>680</v>
      </c>
      <c r="B30" s="7" t="s">
        <v>695</v>
      </c>
      <c r="C30" s="7" t="s">
        <v>686</v>
      </c>
      <c r="D30" s="8" t="n">
        <v>35000</v>
      </c>
      <c r="E30" s="10"/>
    </row>
    <row r="31" customFormat="false" ht="15" hidden="false" customHeight="false" outlineLevel="0" collapsed="false">
      <c r="A31" s="7" t="s">
        <v>680</v>
      </c>
      <c r="B31" s="7" t="s">
        <v>696</v>
      </c>
      <c r="C31" s="7" t="s">
        <v>688</v>
      </c>
      <c r="D31" s="8" t="n">
        <v>20000</v>
      </c>
      <c r="E31" s="10"/>
    </row>
    <row r="32" customFormat="false" ht="15" hidden="false" customHeight="false" outlineLevel="0" collapsed="false">
      <c r="A32" s="7" t="s">
        <v>680</v>
      </c>
      <c r="B32" s="7" t="s">
        <v>697</v>
      </c>
      <c r="C32" s="7" t="s">
        <v>690</v>
      </c>
      <c r="D32" s="8" t="n">
        <v>10000</v>
      </c>
      <c r="E32" s="10"/>
    </row>
    <row r="33" customFormat="false" ht="15" hidden="false" customHeight="false" outlineLevel="0" collapsed="false">
      <c r="A33" s="7" t="s">
        <v>680</v>
      </c>
      <c r="B33" s="7" t="s">
        <v>698</v>
      </c>
      <c r="C33" s="7" t="s">
        <v>692</v>
      </c>
      <c r="D33" s="8" t="n">
        <v>5000</v>
      </c>
      <c r="E33" s="10"/>
    </row>
    <row r="34" customFormat="false" ht="27.6" hidden="false" customHeight="false" outlineLevel="0" collapsed="false">
      <c r="A34" s="7" t="s">
        <v>699</v>
      </c>
      <c r="B34" s="7" t="s">
        <v>700</v>
      </c>
      <c r="C34" s="7" t="s">
        <v>701</v>
      </c>
      <c r="D34" s="8" t="s">
        <v>702</v>
      </c>
      <c r="E34" s="10"/>
    </row>
    <row r="35" customFormat="false" ht="15" hidden="false" customHeight="false" outlineLevel="0" collapsed="false">
      <c r="A35" s="7" t="s">
        <v>699</v>
      </c>
      <c r="B35" s="7" t="s">
        <v>703</v>
      </c>
      <c r="C35" s="7" t="s">
        <v>704</v>
      </c>
      <c r="D35" s="8" t="s">
        <v>705</v>
      </c>
      <c r="E35" s="10"/>
    </row>
    <row r="36" customFormat="false" ht="15" hidden="false" customHeight="false" outlineLevel="0" collapsed="false">
      <c r="A36" s="7" t="s">
        <v>699</v>
      </c>
      <c r="B36" s="7" t="s">
        <v>706</v>
      </c>
      <c r="C36" s="7" t="s">
        <v>707</v>
      </c>
      <c r="D36" s="8" t="s">
        <v>708</v>
      </c>
      <c r="E36" s="10"/>
    </row>
    <row r="37" customFormat="false" ht="15" hidden="false" customHeight="false" outlineLevel="0" collapsed="false">
      <c r="A37" s="7" t="s">
        <v>699</v>
      </c>
      <c r="B37" s="7" t="s">
        <v>709</v>
      </c>
      <c r="C37" s="7" t="s">
        <v>710</v>
      </c>
      <c r="D37" s="8" t="s">
        <v>711</v>
      </c>
      <c r="E37" s="10"/>
    </row>
    <row r="38" customFormat="false" ht="15" hidden="false" customHeight="false" outlineLevel="0" collapsed="false">
      <c r="A38" s="7" t="s">
        <v>699</v>
      </c>
      <c r="B38" s="7" t="s">
        <v>712</v>
      </c>
      <c r="C38" s="7" t="s">
        <v>713</v>
      </c>
      <c r="D38" s="8" t="s">
        <v>714</v>
      </c>
      <c r="E38" s="10"/>
    </row>
    <row r="39" customFormat="false" ht="15" hidden="false" customHeight="false" outlineLevel="0" collapsed="false">
      <c r="A39" s="7" t="s">
        <v>699</v>
      </c>
      <c r="B39" s="7" t="s">
        <v>715</v>
      </c>
      <c r="C39" s="7" t="s">
        <v>716</v>
      </c>
      <c r="D39" s="8" t="s">
        <v>717</v>
      </c>
      <c r="E39" s="10"/>
    </row>
    <row r="40" customFormat="false" ht="15" hidden="false" customHeight="false" outlineLevel="0" collapsed="false">
      <c r="A40" s="7" t="s">
        <v>699</v>
      </c>
      <c r="B40" s="7" t="s">
        <v>718</v>
      </c>
      <c r="C40" s="7" t="s">
        <v>719</v>
      </c>
      <c r="D40" s="8" t="s">
        <v>717</v>
      </c>
      <c r="E40" s="10"/>
    </row>
    <row r="41" customFormat="false" ht="15" hidden="false" customHeight="false" outlineLevel="0" collapsed="false">
      <c r="A41" s="7" t="s">
        <v>699</v>
      </c>
      <c r="B41" s="7" t="s">
        <v>720</v>
      </c>
      <c r="C41" s="7" t="s">
        <v>721</v>
      </c>
      <c r="D41" s="8" t="s">
        <v>717</v>
      </c>
      <c r="E41" s="10"/>
    </row>
    <row r="42" customFormat="false" ht="15" hidden="false" customHeight="false" outlineLevel="0" collapsed="false">
      <c r="A42" s="7" t="s">
        <v>699</v>
      </c>
      <c r="B42" s="7" t="s">
        <v>722</v>
      </c>
      <c r="C42" s="7" t="s">
        <v>723</v>
      </c>
      <c r="D42" s="8" t="s">
        <v>717</v>
      </c>
      <c r="E42" s="10"/>
    </row>
    <row r="43" customFormat="false" ht="15" hidden="false" customHeight="false" outlineLevel="0" collapsed="false">
      <c r="A43" s="7" t="s">
        <v>699</v>
      </c>
      <c r="B43" s="7" t="s">
        <v>724</v>
      </c>
      <c r="C43" s="7" t="s">
        <v>725</v>
      </c>
      <c r="D43" s="8" t="s">
        <v>717</v>
      </c>
      <c r="E43" s="10"/>
    </row>
    <row r="44" customFormat="false" ht="15" hidden="false" customHeight="false" outlineLevel="0" collapsed="false">
      <c r="A44" s="7" t="s">
        <v>699</v>
      </c>
      <c r="B44" s="7" t="s">
        <v>726</v>
      </c>
      <c r="C44" s="7" t="s">
        <v>727</v>
      </c>
      <c r="D44" s="8" t="s">
        <v>717</v>
      </c>
      <c r="E44" s="10"/>
    </row>
    <row r="45" customFormat="false" ht="15" hidden="false" customHeight="false" outlineLevel="0" collapsed="false">
      <c r="A45" s="7" t="s">
        <v>699</v>
      </c>
      <c r="B45" s="7" t="s">
        <v>728</v>
      </c>
      <c r="C45" s="7" t="s">
        <v>729</v>
      </c>
      <c r="D45" s="8" t="s">
        <v>717</v>
      </c>
      <c r="E45" s="10"/>
    </row>
    <row r="46" customFormat="false" ht="15" hidden="false" customHeight="false" outlineLevel="0" collapsed="false">
      <c r="A46" s="7" t="s">
        <v>699</v>
      </c>
      <c r="B46" s="7" t="s">
        <v>730</v>
      </c>
      <c r="C46" s="7" t="s">
        <v>731</v>
      </c>
      <c r="D46" s="8" t="s">
        <v>708</v>
      </c>
      <c r="E46" s="10"/>
    </row>
    <row r="47" customFormat="false" ht="15" hidden="false" customHeight="false" outlineLevel="0" collapsed="false">
      <c r="A47" s="7" t="s">
        <v>699</v>
      </c>
      <c r="B47" s="7" t="s">
        <v>732</v>
      </c>
      <c r="C47" s="7" t="s">
        <v>733</v>
      </c>
      <c r="D47" s="8" t="s">
        <v>734</v>
      </c>
      <c r="E47" s="10"/>
    </row>
    <row r="48" customFormat="false" ht="15" hidden="false" customHeight="false" outlineLevel="0" collapsed="false">
      <c r="A48" s="7" t="s">
        <v>699</v>
      </c>
      <c r="B48" s="7" t="s">
        <v>735</v>
      </c>
      <c r="C48" s="7" t="s">
        <v>736</v>
      </c>
      <c r="D48" s="8" t="s">
        <v>708</v>
      </c>
      <c r="E48" s="10"/>
    </row>
    <row r="49" customFormat="false" ht="15" hidden="false" customHeight="false" outlineLevel="0" collapsed="false">
      <c r="A49" s="7" t="s">
        <v>699</v>
      </c>
      <c r="B49" s="7" t="s">
        <v>737</v>
      </c>
      <c r="C49" s="7" t="s">
        <v>738</v>
      </c>
      <c r="D49" s="8" t="s">
        <v>739</v>
      </c>
      <c r="E49" s="10"/>
    </row>
    <row r="50" customFormat="false" ht="15" hidden="false" customHeight="false" outlineLevel="0" collapsed="false">
      <c r="A50" s="7" t="s">
        <v>699</v>
      </c>
      <c r="B50" s="7" t="s">
        <v>740</v>
      </c>
      <c r="C50" s="6" t="s">
        <v>741</v>
      </c>
      <c r="D50" s="8" t="s">
        <v>742</v>
      </c>
      <c r="E50" s="10"/>
    </row>
    <row r="51" customFormat="false" ht="15" hidden="false" customHeight="false" outlineLevel="0" collapsed="false">
      <c r="A51" s="7" t="s">
        <v>699</v>
      </c>
      <c r="B51" s="7" t="s">
        <v>743</v>
      </c>
      <c r="C51" s="7" t="s">
        <v>744</v>
      </c>
      <c r="D51" s="8" t="s">
        <v>745</v>
      </c>
      <c r="E51" s="10"/>
    </row>
    <row r="52" customFormat="false" ht="15" hidden="false" customHeight="false" outlineLevel="0" collapsed="false">
      <c r="A52" s="7" t="s">
        <v>699</v>
      </c>
      <c r="B52" s="7" t="s">
        <v>746</v>
      </c>
      <c r="C52" s="7" t="s">
        <v>747</v>
      </c>
      <c r="D52" s="8" t="s">
        <v>748</v>
      </c>
      <c r="E52" s="10"/>
    </row>
    <row r="53" customFormat="false" ht="15" hidden="false" customHeight="false" outlineLevel="0" collapsed="false">
      <c r="A53" s="7" t="s">
        <v>699</v>
      </c>
      <c r="B53" s="7" t="s">
        <v>749</v>
      </c>
      <c r="C53" s="7" t="s">
        <v>750</v>
      </c>
      <c r="D53" s="8" t="s">
        <v>751</v>
      </c>
      <c r="E53" s="10"/>
    </row>
    <row r="54" customFormat="false" ht="15" hidden="false" customHeight="false" outlineLevel="0" collapsed="false">
      <c r="A54" s="7" t="s">
        <v>699</v>
      </c>
      <c r="B54" s="7" t="s">
        <v>752</v>
      </c>
      <c r="C54" s="7" t="s">
        <v>753</v>
      </c>
      <c r="D54" s="8" t="s">
        <v>748</v>
      </c>
      <c r="E54" s="10"/>
    </row>
    <row r="55" customFormat="false" ht="15" hidden="false" customHeight="false" outlineLevel="0" collapsed="false">
      <c r="A55" s="7" t="s">
        <v>699</v>
      </c>
      <c r="B55" s="7" t="s">
        <v>754</v>
      </c>
      <c r="C55" s="7" t="s">
        <v>755</v>
      </c>
      <c r="D55" s="8" t="s">
        <v>708</v>
      </c>
      <c r="E55" s="10"/>
    </row>
    <row r="56" customFormat="false" ht="28.35" hidden="false" customHeight="false" outlineLevel="0" collapsed="false">
      <c r="A56" s="7" t="s">
        <v>699</v>
      </c>
      <c r="B56" s="7" t="s">
        <v>756</v>
      </c>
      <c r="C56" s="7" t="s">
        <v>757</v>
      </c>
      <c r="D56" s="8" t="s">
        <v>758</v>
      </c>
      <c r="E56" s="10"/>
    </row>
    <row r="57" customFormat="false" ht="27.6" hidden="false" customHeight="false" outlineLevel="0" collapsed="false">
      <c r="A57" s="7" t="s">
        <v>699</v>
      </c>
      <c r="B57" s="7" t="s">
        <v>759</v>
      </c>
      <c r="C57" s="7" t="s">
        <v>760</v>
      </c>
      <c r="D57" s="8" t="s">
        <v>761</v>
      </c>
      <c r="E57" s="10"/>
    </row>
    <row r="58" customFormat="false" ht="15" hidden="false" customHeight="false" outlineLevel="0" collapsed="false">
      <c r="A58" s="7" t="s">
        <v>699</v>
      </c>
      <c r="B58" s="7" t="s">
        <v>762</v>
      </c>
      <c r="C58" s="7" t="s">
        <v>763</v>
      </c>
      <c r="D58" s="8" t="s">
        <v>764</v>
      </c>
      <c r="E58" s="10"/>
    </row>
    <row r="59" customFormat="false" ht="15" hidden="false" customHeight="false" outlineLevel="0" collapsed="false">
      <c r="A59" s="7" t="s">
        <v>699</v>
      </c>
      <c r="B59" s="7" t="s">
        <v>765</v>
      </c>
      <c r="C59" s="7" t="s">
        <v>766</v>
      </c>
      <c r="D59" s="8" t="s">
        <v>767</v>
      </c>
      <c r="E59" s="10"/>
    </row>
    <row r="60" customFormat="false" ht="15" hidden="false" customHeight="false" outlineLevel="0" collapsed="false">
      <c r="A60" s="7" t="s">
        <v>699</v>
      </c>
      <c r="B60" s="7" t="s">
        <v>768</v>
      </c>
      <c r="C60" s="7" t="s">
        <v>769</v>
      </c>
      <c r="D60" s="8" t="s">
        <v>708</v>
      </c>
      <c r="E60" s="10"/>
    </row>
    <row r="61" customFormat="false" ht="15" hidden="false" customHeight="false" outlineLevel="0" collapsed="false">
      <c r="A61" s="7" t="s">
        <v>699</v>
      </c>
      <c r="B61" s="7" t="s">
        <v>770</v>
      </c>
      <c r="C61" s="7" t="s">
        <v>771</v>
      </c>
      <c r="D61" s="8" t="s">
        <v>748</v>
      </c>
      <c r="E61" s="10"/>
    </row>
    <row r="62" customFormat="false" ht="15" hidden="false" customHeight="false" outlineLevel="0" collapsed="false">
      <c r="A62" s="7" t="s">
        <v>699</v>
      </c>
      <c r="B62" s="7" t="s">
        <v>772</v>
      </c>
      <c r="C62" s="7" t="s">
        <v>773</v>
      </c>
      <c r="D62" s="8" t="s">
        <v>774</v>
      </c>
      <c r="E62" s="10"/>
    </row>
    <row r="63" customFormat="false" ht="15" hidden="false" customHeight="false" outlineLevel="0" collapsed="false">
      <c r="A63" s="7" t="s">
        <v>699</v>
      </c>
      <c r="B63" s="7" t="s">
        <v>775</v>
      </c>
      <c r="C63" s="7" t="s">
        <v>776</v>
      </c>
      <c r="D63" s="8" t="s">
        <v>777</v>
      </c>
      <c r="E63" s="10"/>
    </row>
    <row r="64" customFormat="false" ht="15" hidden="false" customHeight="false" outlineLevel="0" collapsed="false">
      <c r="A64" s="7" t="s">
        <v>699</v>
      </c>
      <c r="B64" s="7" t="s">
        <v>778</v>
      </c>
      <c r="C64" s="7" t="s">
        <v>779</v>
      </c>
      <c r="D64" s="8" t="s">
        <v>780</v>
      </c>
      <c r="E64" s="10"/>
    </row>
    <row r="65" customFormat="false" ht="15" hidden="false" customHeight="false" outlineLevel="0" collapsed="false">
      <c r="A65" s="7" t="s">
        <v>699</v>
      </c>
      <c r="B65" s="7" t="s">
        <v>781</v>
      </c>
      <c r="C65" s="7" t="s">
        <v>782</v>
      </c>
      <c r="D65" s="8" t="s">
        <v>734</v>
      </c>
      <c r="E65" s="10"/>
    </row>
    <row r="66" customFormat="false" ht="15" hidden="false" customHeight="false" outlineLevel="0" collapsed="false">
      <c r="A66" s="7" t="s">
        <v>699</v>
      </c>
      <c r="B66" s="7" t="s">
        <v>783</v>
      </c>
      <c r="C66" s="7" t="s">
        <v>784</v>
      </c>
      <c r="D66" s="8" t="s">
        <v>785</v>
      </c>
      <c r="E66" s="10"/>
    </row>
    <row r="67" customFormat="false" ht="15" hidden="false" customHeight="false" outlineLevel="0" collapsed="false">
      <c r="A67" s="7" t="s">
        <v>699</v>
      </c>
      <c r="B67" s="7" t="s">
        <v>786</v>
      </c>
      <c r="C67" s="7" t="s">
        <v>787</v>
      </c>
      <c r="D67" s="8" t="s">
        <v>758</v>
      </c>
      <c r="E67" s="10"/>
    </row>
    <row r="68" customFormat="false" ht="15" hidden="false" customHeight="false" outlineLevel="0" collapsed="false">
      <c r="A68" s="7" t="s">
        <v>699</v>
      </c>
      <c r="B68" s="7" t="s">
        <v>788</v>
      </c>
      <c r="C68" s="7" t="s">
        <v>789</v>
      </c>
      <c r="D68" s="8" t="s">
        <v>708</v>
      </c>
      <c r="E68" s="10"/>
    </row>
    <row r="69" customFormat="false" ht="15" hidden="false" customHeight="false" outlineLevel="0" collapsed="false">
      <c r="A69" s="7" t="s">
        <v>699</v>
      </c>
      <c r="B69" s="7" t="s">
        <v>790</v>
      </c>
      <c r="C69" s="7" t="s">
        <v>791</v>
      </c>
      <c r="D69" s="8" t="s">
        <v>792</v>
      </c>
      <c r="E69" s="10"/>
    </row>
    <row r="70" customFormat="false" ht="15" hidden="false" customHeight="false" outlineLevel="0" collapsed="false">
      <c r="A70" s="7" t="s">
        <v>699</v>
      </c>
      <c r="B70" s="7" t="s">
        <v>793</v>
      </c>
      <c r="C70" s="7" t="s">
        <v>794</v>
      </c>
      <c r="D70" s="8" t="s">
        <v>795</v>
      </c>
      <c r="E70" s="10"/>
    </row>
    <row r="71" customFormat="false" ht="15" hidden="false" customHeight="false" outlineLevel="0" collapsed="false">
      <c r="A71" s="7" t="s">
        <v>699</v>
      </c>
      <c r="B71" s="7" t="s">
        <v>796</v>
      </c>
      <c r="C71" s="7" t="s">
        <v>797</v>
      </c>
      <c r="D71" s="8" t="s">
        <v>798</v>
      </c>
      <c r="E71" s="10"/>
    </row>
    <row r="72" customFormat="false" ht="15" hidden="false" customHeight="false" outlineLevel="0" collapsed="false">
      <c r="A72" s="7" t="s">
        <v>699</v>
      </c>
      <c r="B72" s="7" t="s">
        <v>799</v>
      </c>
      <c r="C72" s="7" t="s">
        <v>800</v>
      </c>
      <c r="D72" s="8" t="s">
        <v>801</v>
      </c>
      <c r="E72" s="10"/>
    </row>
    <row r="73" customFormat="false" ht="15" hidden="false" customHeight="false" outlineLevel="0" collapsed="false">
      <c r="A73" s="7" t="s">
        <v>699</v>
      </c>
      <c r="B73" s="7" t="s">
        <v>802</v>
      </c>
      <c r="C73" s="7" t="s">
        <v>803</v>
      </c>
      <c r="D73" s="8" t="s">
        <v>708</v>
      </c>
      <c r="E73" s="10"/>
    </row>
    <row r="74" customFormat="false" ht="15" hidden="false" customHeight="false" outlineLevel="0" collapsed="false">
      <c r="A74" s="7" t="s">
        <v>699</v>
      </c>
      <c r="B74" s="7" t="s">
        <v>804</v>
      </c>
      <c r="C74" s="7" t="s">
        <v>805</v>
      </c>
      <c r="D74" s="8" t="s">
        <v>806</v>
      </c>
      <c r="E74" s="10"/>
    </row>
    <row r="75" customFormat="false" ht="15" hidden="false" customHeight="false" outlineLevel="0" collapsed="false">
      <c r="A75" s="7" t="s">
        <v>699</v>
      </c>
      <c r="B75" s="7" t="s">
        <v>807</v>
      </c>
      <c r="C75" s="7" t="s">
        <v>808</v>
      </c>
      <c r="D75" s="8" t="s">
        <v>809</v>
      </c>
      <c r="E7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810</v>
      </c>
      <c r="B1" s="5" t="s">
        <v>610</v>
      </c>
      <c r="C1" s="5" t="s">
        <v>811</v>
      </c>
      <c r="D1" s="5" t="s">
        <v>812</v>
      </c>
      <c r="E1" s="5" t="s">
        <v>813</v>
      </c>
      <c r="F1" s="5" t="s">
        <v>32</v>
      </c>
    </row>
    <row r="2" customFormat="false" ht="82.05" hidden="false" customHeight="false" outlineLevel="0" collapsed="false">
      <c r="A2" s="7" t="s">
        <v>814</v>
      </c>
      <c r="B2" s="7" t="s">
        <v>815</v>
      </c>
      <c r="C2" s="6" t="s">
        <v>816</v>
      </c>
      <c r="D2" s="8" t="n">
        <v>15</v>
      </c>
      <c r="E2" s="6" t="s">
        <v>817</v>
      </c>
      <c r="F2" s="10"/>
    </row>
    <row r="3" customFormat="false" ht="28.35" hidden="false" customHeight="false" outlineLevel="0" collapsed="false">
      <c r="A3" s="7" t="s">
        <v>547</v>
      </c>
      <c r="B3" s="7" t="s">
        <v>818</v>
      </c>
      <c r="C3" s="6" t="s">
        <v>816</v>
      </c>
      <c r="D3" s="8" t="n">
        <v>15</v>
      </c>
      <c r="E3" s="6" t="s">
        <v>819</v>
      </c>
      <c r="F3" s="10"/>
    </row>
    <row r="4" customFormat="false" ht="15" hidden="false" customHeight="false" outlineLevel="0" collapsed="false">
      <c r="A4" s="7" t="s">
        <v>820</v>
      </c>
      <c r="B4" s="7" t="s">
        <v>821</v>
      </c>
      <c r="C4" s="6" t="s">
        <v>816</v>
      </c>
      <c r="D4" s="8" t="n">
        <v>15</v>
      </c>
      <c r="E4" s="6" t="s">
        <v>822</v>
      </c>
      <c r="F4" s="10"/>
    </row>
    <row r="5" customFormat="false" ht="15" hidden="false" customHeight="false" outlineLevel="0" collapsed="false">
      <c r="A5" s="7" t="s">
        <v>823</v>
      </c>
      <c r="B5" s="7" t="s">
        <v>824</v>
      </c>
      <c r="C5" s="6" t="s">
        <v>816</v>
      </c>
      <c r="D5" s="8" t="n">
        <v>15</v>
      </c>
      <c r="E5" s="6" t="s">
        <v>825</v>
      </c>
      <c r="F5" s="10"/>
    </row>
    <row r="6" customFormat="false" ht="28.35" hidden="false" customHeight="false" outlineLevel="0" collapsed="false">
      <c r="A6" s="7" t="s">
        <v>826</v>
      </c>
      <c r="B6" s="7" t="s">
        <v>827</v>
      </c>
      <c r="C6" s="7"/>
      <c r="D6" s="8" t="n">
        <v>15</v>
      </c>
      <c r="E6" s="6" t="s">
        <v>828</v>
      </c>
      <c r="F6" s="10"/>
    </row>
    <row r="7" customFormat="false" ht="28.35" hidden="false" customHeight="false" outlineLevel="0" collapsed="false">
      <c r="A7" s="7" t="s">
        <v>829</v>
      </c>
      <c r="B7" s="7" t="s">
        <v>830</v>
      </c>
      <c r="C7" s="7"/>
      <c r="D7" s="8" t="n">
        <v>15</v>
      </c>
      <c r="E7" s="7" t="s">
        <v>831</v>
      </c>
      <c r="F7" s="10"/>
    </row>
    <row r="8" customFormat="false" ht="15" hidden="false" customHeight="false" outlineLevel="0" collapsed="false">
      <c r="A8" s="7" t="s">
        <v>832</v>
      </c>
      <c r="B8" s="7" t="s">
        <v>833</v>
      </c>
      <c r="C8" s="7"/>
      <c r="D8" s="8" t="n">
        <v>15</v>
      </c>
      <c r="E8" s="6" t="s">
        <v>834</v>
      </c>
      <c r="F8" s="10"/>
    </row>
    <row r="9" customFormat="false" ht="15" hidden="false" customHeight="false" outlineLevel="0" collapsed="false">
      <c r="A9" s="7" t="s">
        <v>835</v>
      </c>
      <c r="B9" s="7" t="s">
        <v>836</v>
      </c>
      <c r="C9" s="7"/>
      <c r="D9" s="8" t="n">
        <v>15</v>
      </c>
      <c r="E9" s="7" t="s">
        <v>837</v>
      </c>
      <c r="F9" s="10"/>
    </row>
    <row r="10" customFormat="false" ht="28.35" hidden="false" customHeight="false" outlineLevel="0" collapsed="false">
      <c r="A10" s="7" t="s">
        <v>838</v>
      </c>
      <c r="B10" s="7" t="s">
        <v>839</v>
      </c>
      <c r="C10" s="7"/>
      <c r="D10" s="8" t="n">
        <v>15</v>
      </c>
      <c r="E10" s="7" t="s">
        <v>840</v>
      </c>
      <c r="F10" s="10"/>
    </row>
    <row r="11" customFormat="false" ht="28.35" hidden="false" customHeight="false" outlineLevel="0" collapsed="false">
      <c r="A11" s="7" t="s">
        <v>841</v>
      </c>
      <c r="B11" s="7" t="s">
        <v>842</v>
      </c>
      <c r="C11" s="7"/>
      <c r="D11" s="8" t="n">
        <v>15</v>
      </c>
      <c r="E11" s="7" t="s">
        <v>843</v>
      </c>
      <c r="F11" s="10"/>
    </row>
    <row r="12" customFormat="false" ht="15" hidden="false" customHeight="false" outlineLevel="0" collapsed="false">
      <c r="A12" s="7" t="s">
        <v>844</v>
      </c>
      <c r="B12" s="7" t="s">
        <v>845</v>
      </c>
      <c r="C12" s="7"/>
      <c r="D12" s="8" t="n">
        <v>15</v>
      </c>
      <c r="E12" s="7" t="s">
        <v>846</v>
      </c>
      <c r="F12" s="10"/>
    </row>
    <row r="13" customFormat="false" ht="15" hidden="false" customHeight="false" outlineLevel="0" collapsed="false">
      <c r="A13" s="7" t="s">
        <v>847</v>
      </c>
      <c r="B13" s="7" t="s">
        <v>848</v>
      </c>
      <c r="C13" s="7"/>
      <c r="D13" s="8" t="n">
        <v>15</v>
      </c>
      <c r="E13" s="7" t="s">
        <v>849</v>
      </c>
      <c r="F13" s="10"/>
    </row>
    <row r="14" customFormat="false" ht="28.35" hidden="false" customHeight="false" outlineLevel="0" collapsed="false">
      <c r="A14" s="7" t="s">
        <v>850</v>
      </c>
      <c r="B14" s="7" t="s">
        <v>851</v>
      </c>
      <c r="C14" s="7"/>
      <c r="D14" s="8" t="n">
        <v>15</v>
      </c>
      <c r="E14" s="6" t="s">
        <v>852</v>
      </c>
      <c r="F14" s="10"/>
    </row>
    <row r="15" customFormat="false" ht="28.35" hidden="false" customHeight="false" outlineLevel="0" collapsed="false">
      <c r="A15" s="7" t="s">
        <v>853</v>
      </c>
      <c r="B15" s="7" t="s">
        <v>854</v>
      </c>
      <c r="C15" s="7"/>
      <c r="D15" s="8" t="n">
        <v>15</v>
      </c>
      <c r="E15" s="7" t="s">
        <v>855</v>
      </c>
      <c r="F15" s="10"/>
    </row>
    <row r="16" customFormat="false" ht="15" hidden="false" customHeight="false" outlineLevel="0" collapsed="false">
      <c r="A16" s="7" t="s">
        <v>856</v>
      </c>
      <c r="B16" s="7" t="s">
        <v>857</v>
      </c>
      <c r="C16" s="7"/>
      <c r="D16" s="8" t="n">
        <v>15</v>
      </c>
      <c r="E16" s="7" t="s">
        <v>858</v>
      </c>
      <c r="F16" s="10"/>
    </row>
    <row r="17" customFormat="false" ht="28.35" hidden="false" customHeight="false" outlineLevel="0" collapsed="false">
      <c r="A17" s="7" t="s">
        <v>859</v>
      </c>
      <c r="B17" s="7" t="s">
        <v>860</v>
      </c>
      <c r="C17" s="7"/>
      <c r="D17" s="8" t="n">
        <v>15</v>
      </c>
      <c r="E17" s="7" t="s">
        <v>861</v>
      </c>
      <c r="F17" s="10"/>
    </row>
    <row r="18" customFormat="false" ht="15" hidden="false" customHeight="false" outlineLevel="0" collapsed="false">
      <c r="A18" s="7" t="s">
        <v>862</v>
      </c>
      <c r="B18" s="7" t="s">
        <v>863</v>
      </c>
      <c r="C18" s="7"/>
      <c r="D18" s="8" t="n">
        <v>15</v>
      </c>
      <c r="E18" s="7" t="s">
        <v>864</v>
      </c>
      <c r="F18" s="10"/>
    </row>
    <row r="19" customFormat="false" ht="28.35" hidden="false" customHeight="false" outlineLevel="0" collapsed="false">
      <c r="A19" s="7" t="s">
        <v>865</v>
      </c>
      <c r="B19" s="7" t="s">
        <v>866</v>
      </c>
      <c r="C19" s="7"/>
      <c r="D19" s="8" t="n">
        <v>15</v>
      </c>
      <c r="E19" s="7" t="s">
        <v>840</v>
      </c>
      <c r="F19" s="10"/>
    </row>
    <row r="20" customFormat="false" ht="15" hidden="false" customHeight="false" outlineLevel="0" collapsed="false">
      <c r="A20" s="7" t="s">
        <v>867</v>
      </c>
      <c r="B20" s="7" t="s">
        <v>868</v>
      </c>
      <c r="C20" s="7"/>
      <c r="D20" s="8" t="n">
        <v>15</v>
      </c>
      <c r="E20" s="6" t="s">
        <v>869</v>
      </c>
      <c r="F20" s="10"/>
    </row>
    <row r="21" customFormat="false" ht="41.75" hidden="false" customHeight="false" outlineLevel="0" collapsed="false">
      <c r="A21" s="7" t="s">
        <v>870</v>
      </c>
      <c r="B21" s="7" t="s">
        <v>871</v>
      </c>
      <c r="C21" s="7"/>
      <c r="D21" s="8" t="n">
        <v>15</v>
      </c>
      <c r="E21" s="7" t="s">
        <v>872</v>
      </c>
      <c r="F21" s="10"/>
    </row>
    <row r="22" customFormat="false" ht="41.75" hidden="false" customHeight="false" outlineLevel="0" collapsed="false">
      <c r="A22" s="7" t="s">
        <v>873</v>
      </c>
      <c r="B22" s="7" t="s">
        <v>874</v>
      </c>
      <c r="C22" s="7"/>
      <c r="D22" s="8" t="n">
        <v>15</v>
      </c>
      <c r="E22" s="7" t="s">
        <v>875</v>
      </c>
      <c r="F22" s="10"/>
    </row>
    <row r="23" customFormat="false" ht="28.35" hidden="false" customHeight="false" outlineLevel="0" collapsed="false">
      <c r="A23" s="7" t="s">
        <v>876</v>
      </c>
      <c r="B23" s="7" t="s">
        <v>877</v>
      </c>
      <c r="C23" s="7"/>
      <c r="D23" s="8" t="n">
        <v>15</v>
      </c>
      <c r="E23" s="7" t="s">
        <v>878</v>
      </c>
      <c r="F23" s="10"/>
    </row>
    <row r="24" customFormat="false" ht="28.35" hidden="false" customHeight="false" outlineLevel="0" collapsed="false">
      <c r="A24" s="7" t="s">
        <v>879</v>
      </c>
      <c r="B24" s="7" t="s">
        <v>880</v>
      </c>
      <c r="C24" s="7"/>
      <c r="D24" s="8" t="n">
        <v>15</v>
      </c>
      <c r="E24" s="6" t="s">
        <v>881</v>
      </c>
      <c r="F24" s="10"/>
    </row>
    <row r="25" customFormat="false" ht="15" hidden="false" customHeight="false" outlineLevel="0" collapsed="false">
      <c r="A25" s="7" t="s">
        <v>882</v>
      </c>
      <c r="B25" s="7" t="s">
        <v>883</v>
      </c>
      <c r="C25" s="7"/>
      <c r="D25" s="8" t="n">
        <v>15</v>
      </c>
      <c r="E25" s="7" t="s">
        <v>884</v>
      </c>
      <c r="F25" s="10"/>
    </row>
    <row r="26" customFormat="false" ht="41.75" hidden="false" customHeight="false" outlineLevel="0" collapsed="false">
      <c r="A26" s="7" t="s">
        <v>885</v>
      </c>
      <c r="B26" s="7" t="s">
        <v>886</v>
      </c>
      <c r="C26" s="7"/>
      <c r="D26" s="8" t="n">
        <v>15</v>
      </c>
      <c r="E26" s="7" t="s">
        <v>887</v>
      </c>
      <c r="F26" s="10"/>
    </row>
    <row r="27" customFormat="false" ht="41.75" hidden="false" customHeight="false" outlineLevel="0" collapsed="false">
      <c r="A27" s="7" t="s">
        <v>888</v>
      </c>
      <c r="B27" s="7" t="s">
        <v>889</v>
      </c>
      <c r="C27" s="7"/>
      <c r="D27" s="8" t="n">
        <v>15</v>
      </c>
      <c r="E27" s="6" t="s">
        <v>890</v>
      </c>
      <c r="F27" s="10"/>
    </row>
    <row r="28" customFormat="false" ht="28.35" hidden="false" customHeight="false" outlineLevel="0" collapsed="false">
      <c r="A28" s="7" t="s">
        <v>891</v>
      </c>
      <c r="B28" s="7" t="s">
        <v>892</v>
      </c>
      <c r="C28" s="7"/>
      <c r="D28" s="8" t="n">
        <v>15</v>
      </c>
      <c r="E28" s="7"/>
      <c r="F28" s="10"/>
    </row>
    <row r="29" customFormat="false" ht="28.35" hidden="false" customHeight="false" outlineLevel="0" collapsed="false">
      <c r="A29" s="7" t="s">
        <v>893</v>
      </c>
      <c r="B29" s="7" t="s">
        <v>894</v>
      </c>
      <c r="C29" s="7"/>
      <c r="D29" s="8" t="n">
        <v>15</v>
      </c>
      <c r="E29" s="6" t="s">
        <v>869</v>
      </c>
      <c r="F29" s="10"/>
    </row>
    <row r="30" customFormat="false" ht="28.35" hidden="false" customHeight="false" outlineLevel="0" collapsed="false">
      <c r="A30" s="7" t="s">
        <v>895</v>
      </c>
      <c r="B30" s="7" t="s">
        <v>896</v>
      </c>
      <c r="C30" s="7"/>
      <c r="D30" s="7" t="n">
        <v>15</v>
      </c>
      <c r="E30" s="7"/>
      <c r="F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897</v>
      </c>
      <c r="B1" s="5" t="s">
        <v>636</v>
      </c>
      <c r="C1" s="5" t="s">
        <v>488</v>
      </c>
      <c r="D1" s="5" t="s">
        <v>898</v>
      </c>
      <c r="E1" s="5" t="s">
        <v>899</v>
      </c>
      <c r="F1" s="5" t="s">
        <v>813</v>
      </c>
      <c r="G1" s="5" t="s">
        <v>32</v>
      </c>
    </row>
    <row r="2" customFormat="false" ht="68.65" hidden="false" customHeight="false" outlineLevel="0" collapsed="false">
      <c r="A2" s="7" t="s">
        <v>900</v>
      </c>
      <c r="B2" s="7" t="s">
        <v>901</v>
      </c>
      <c r="C2" s="7" t="s">
        <v>902</v>
      </c>
      <c r="D2" s="7" t="s">
        <v>903</v>
      </c>
      <c r="E2" s="7" t="s">
        <v>904</v>
      </c>
      <c r="F2" s="8" t="s">
        <v>905</v>
      </c>
      <c r="G2" s="10"/>
    </row>
    <row r="3" customFormat="false" ht="41.75" hidden="false" customHeight="false" outlineLevel="0" collapsed="false">
      <c r="A3" s="7" t="s">
        <v>906</v>
      </c>
      <c r="B3" s="7" t="s">
        <v>907</v>
      </c>
      <c r="C3" s="7" t="s">
        <v>908</v>
      </c>
      <c r="D3" s="6" t="s">
        <v>909</v>
      </c>
      <c r="E3" s="7" t="s">
        <v>910</v>
      </c>
      <c r="F3" s="8" t="s">
        <v>911</v>
      </c>
      <c r="G3" s="10"/>
    </row>
    <row r="4" customFormat="false" ht="41.75" hidden="false" customHeight="false" outlineLevel="0" collapsed="false">
      <c r="A4" s="7" t="s">
        <v>912</v>
      </c>
      <c r="B4" s="7" t="s">
        <v>913</v>
      </c>
      <c r="C4" s="7" t="s">
        <v>914</v>
      </c>
      <c r="D4" s="7" t="s">
        <v>915</v>
      </c>
      <c r="E4" s="7" t="s">
        <v>916</v>
      </c>
      <c r="F4" s="8" t="s">
        <v>917</v>
      </c>
      <c r="G4" s="10"/>
    </row>
    <row r="5" customFormat="false" ht="162.65" hidden="false" customHeight="false" outlineLevel="0" collapsed="false">
      <c r="A5" s="7" t="s">
        <v>918</v>
      </c>
      <c r="B5" s="7" t="s">
        <v>919</v>
      </c>
      <c r="C5" s="7" t="s">
        <v>920</v>
      </c>
      <c r="D5" s="7" t="s">
        <v>921</v>
      </c>
      <c r="E5" s="7" t="s">
        <v>922</v>
      </c>
      <c r="F5" s="8" t="s">
        <v>923</v>
      </c>
      <c r="G5" s="10"/>
    </row>
    <row r="6" customFormat="false" ht="149.25" hidden="false" customHeight="false" outlineLevel="0" collapsed="false">
      <c r="A6" s="7" t="s">
        <v>924</v>
      </c>
      <c r="B6" s="7" t="s">
        <v>925</v>
      </c>
      <c r="C6" s="7" t="s">
        <v>926</v>
      </c>
      <c r="D6" s="7" t="s">
        <v>927</v>
      </c>
      <c r="E6" s="7" t="s">
        <v>928</v>
      </c>
      <c r="F6" s="8" t="s">
        <v>929</v>
      </c>
      <c r="G6" s="10"/>
    </row>
    <row r="7" customFormat="false" ht="41.75" hidden="false" customHeight="false" outlineLevel="0" collapsed="false">
      <c r="A7" s="7" t="s">
        <v>930</v>
      </c>
      <c r="B7" s="7" t="s">
        <v>931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2026-10-22T06:32:29Z</dcterms:created>
  <dc:creator>openpyxl</dc:creator>
  <dc:description/>
  <dc:language>en-US</dc:language>
  <cp:lastModifiedBy/>
  <dcterms:modified xsi:type="dcterms:W3CDTF">2026-10-22T06:32:29Z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