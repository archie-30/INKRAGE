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卡牌" sheetId="2" state="visible" r:id="rId4"/>
    <sheet name="敵人與頭目" sheetId="3" state="visible" r:id="rId5"/>
    <sheet name="武器" sheetId="4" state="visible" r:id="rId6"/>
    <sheet name="小遊戲" sheetId="5" state="visible" r:id="rId7"/>
    <sheet name="小遊戲獎懲" sheetId="6" state="visible" r:id="rId8"/>
    <sheet name="成就與墨點" sheetId="7" state="visible" r:id="rId9"/>
    <sheet name="遺物" sheetId="8" state="visible" r:id="rId10"/>
    <sheet name="課程" sheetId="9" state="visible" r:id="rId11"/>
  </sheets>
  <definedNames>
    <definedName function="false" hidden="true" localSheetId="1" name="_xlnm._FilterDatabase" vbProcedure="false">卡牌!$A$1:$P$63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WenQuanYi Zen Hei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src/data/tuning.js TUNING.elite.hp</t>
        </r>
      </text>
    </comment>
    <comment ref="D1" authorId="0">
      <text>
        <r>
          <rPr>
            <sz val="10"/>
            <rFont val="WenQuanYi Zen Hei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src/data/tuning.js TUNING.ink.eliteMult</t>
        </r>
      </text>
    </comment>
  </commentList>
</comments>
</file>

<file path=xl/sharedStrings.xml><?xml version="1.0" encoding="utf-8"?>
<sst xmlns="http://schemas.openxmlformats.org/spreadsheetml/2006/main" count="1316" uniqueCount="905">
  <si>
    <r>
      <rPr>
        <b val="true"/>
        <sz val="14"/>
        <rFont val="Arial"/>
        <family val="0"/>
        <charset val="1"/>
      </rPr>
      <t xml:space="preserve">INKRAGE </t>
    </r>
    <r>
      <rPr>
        <b val="true"/>
        <sz val="14"/>
        <rFont val="WenQuanYi Zen Hei"/>
        <family val="2"/>
      </rPr>
      <t xml:space="preserve">數值表（</t>
    </r>
    <r>
      <rPr>
        <b val="true"/>
        <sz val="14"/>
        <rFont val="Arial"/>
        <family val="0"/>
        <charset val="1"/>
      </rPr>
      <t xml:space="preserve">beta v0.9.34</t>
    </r>
    <r>
      <rPr>
        <b val="true"/>
        <sz val="14"/>
        <rFont val="WenQuanYi Zen Hei"/>
        <family val="2"/>
      </rPr>
      <t xml:space="preserve">）</t>
    </r>
  </si>
  <si>
    <t xml:space="preserve">用途</t>
  </si>
  <si>
    <r>
      <rPr>
        <sz val="11"/>
        <rFont val="WenQuanYi Zen Hei"/>
        <family val="2"/>
      </rPr>
      <t xml:space="preserve">手動做平衡性調整用。數值直接取自遊戲原始碼（</t>
    </r>
    <r>
      <rPr>
        <sz val="11"/>
        <rFont val="Arial"/>
        <family val="0"/>
        <charset val="1"/>
      </rPr>
      <t xml:space="preserve">src/data/cards.js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enemies.js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weapons.js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tuning.js</t>
    </r>
    <r>
      <rPr>
        <sz val="11"/>
        <rFont val="WenQuanYi Zen Hei"/>
        <family val="2"/>
      </rPr>
      <t xml:space="preserve">），與 </t>
    </r>
    <r>
      <rPr>
        <sz val="11"/>
        <rFont val="Arial"/>
        <family val="0"/>
        <charset val="1"/>
      </rPr>
      <t xml:space="preserve">beta v0.9.34 </t>
    </r>
    <r>
      <rPr>
        <sz val="11"/>
        <rFont val="WenQuanYi Zen Hei"/>
        <family val="2"/>
      </rPr>
      <t xml:space="preserve">一致。</t>
    </r>
  </si>
  <si>
    <t xml:space="preserve">怎麼填</t>
  </si>
  <si>
    <r>
      <rPr>
        <sz val="11"/>
        <rFont val="WenQuanYi Zen Hei"/>
        <family val="2"/>
      </rPr>
      <t xml:space="preserve">在每個分頁最右邊的黃色「修改建議」欄寫下想改的內容即可，例如「傷害 </t>
    </r>
    <r>
      <rPr>
        <sz val="11"/>
        <rFont val="Arial"/>
        <family val="0"/>
        <charset val="1"/>
      </rPr>
      <t xml:space="preserve">14→12</t>
    </r>
    <r>
      <rPr>
        <sz val="11"/>
        <rFont val="WenQuanYi Zen Hei"/>
        <family val="2"/>
      </rPr>
      <t xml:space="preserve">」「費用 </t>
    </r>
    <r>
      <rPr>
        <sz val="11"/>
        <rFont val="Arial"/>
        <family val="0"/>
        <charset val="1"/>
      </rPr>
      <t xml:space="preserve">2→3</t>
    </r>
    <r>
      <rPr>
        <sz val="11"/>
        <rFont val="WenQuanYi Zen Hei"/>
        <family val="2"/>
      </rPr>
      <t xml:space="preserve">」。也可以直接改藍色數字，交回時我會照著改進遊戲。</t>
    </r>
  </si>
  <si>
    <t xml:space="preserve">顏色</t>
  </si>
  <si>
    <t xml:space="preserve">藍色字＝遊戲中的實際設定值（可改）；黑色字＝公式或文字說明（自動計算，不用改）；黃色底＝修改建議欄；淡紅底＝特殊技／頭目。</t>
  </si>
  <si>
    <t xml:space="preserve">卡牌</t>
  </si>
  <si>
    <r>
      <rPr>
        <sz val="11"/>
        <rFont val="WenQuanYi Zen Hei"/>
        <family val="2"/>
      </rPr>
      <t xml:space="preserve">「一般牌」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張手牌輪替；「特殊技」佔第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格。強化版＝牌組中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張相同的牌合成；特殊技強化只會費用 </t>
    </r>
    <r>
      <rPr>
        <sz val="11"/>
        <rFont val="Arial"/>
        <family val="0"/>
        <charset val="1"/>
      </rPr>
      <t xml:space="preserve">-1</t>
    </r>
    <r>
      <rPr>
        <sz val="11"/>
        <rFont val="WenQuanYi Zen Hei"/>
        <family val="2"/>
      </rPr>
      <t xml:space="preserve">，效果不變。</t>
    </r>
  </si>
  <si>
    <t xml:space="preserve">墨水</t>
  </si>
  <si>
    <r>
      <rPr>
        <sz val="11"/>
        <rFont val="WenQuanYi Zen Hei"/>
        <family val="2"/>
      </rPr>
      <t xml:space="preserve">上限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，開局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。擊殺敵人給墨水（精英 </t>
    </r>
    <r>
      <rPr>
        <sz val="11"/>
        <rFont val="Arial"/>
        <family val="0"/>
        <charset val="1"/>
      </rPr>
      <t xml:space="preserve">×2</t>
    </r>
    <r>
      <rPr>
        <sz val="11"/>
        <rFont val="WenQuanYi Zen Hei"/>
        <family val="2"/>
      </rPr>
      <t xml:space="preserve">），頭目關卡會掉落墨水。</t>
    </r>
  </si>
  <si>
    <t xml:space="preserve">敵人</t>
  </si>
  <si>
    <r>
      <rPr>
        <sz val="11"/>
        <rFont val="WenQuanYi Zen Hei"/>
        <family val="2"/>
      </rPr>
      <t xml:space="preserve">生命為第一幕基礎值，之後的關卡會逐步提高。精英倍率：生命 </t>
    </r>
    <r>
      <rPr>
        <sz val="11"/>
        <rFont val="Arial"/>
        <family val="0"/>
        <charset val="1"/>
      </rPr>
      <t xml:space="preserve">×2.5</t>
    </r>
    <r>
      <rPr>
        <sz val="11"/>
        <rFont val="WenQuanYi Zen Hei"/>
        <family val="2"/>
      </rPr>
      <t xml:space="preserve">、體型 </t>
    </r>
    <r>
      <rPr>
        <sz val="11"/>
        <rFont val="Arial"/>
        <family val="0"/>
        <charset val="1"/>
      </rPr>
      <t xml:space="preserve">×1.3</t>
    </r>
    <r>
      <rPr>
        <sz val="11"/>
        <rFont val="WenQuanYi Zen Hei"/>
        <family val="2"/>
      </rPr>
      <t xml:space="preserve">、擊殺墨水 </t>
    </r>
    <r>
      <rPr>
        <sz val="11"/>
        <rFont val="Arial"/>
        <family val="0"/>
        <charset val="1"/>
      </rPr>
      <t xml:space="preserve">×2</t>
    </r>
    <r>
      <rPr>
        <sz val="11"/>
        <rFont val="WenQuanYi Zen Hei"/>
        <family val="2"/>
      </rPr>
      <t xml:space="preserve">、分數 </t>
    </r>
    <r>
      <rPr>
        <sz val="11"/>
        <rFont val="Arial"/>
        <family val="0"/>
        <charset val="1"/>
      </rPr>
      <t xml:space="preserve">×3</t>
    </r>
    <r>
      <rPr>
        <sz val="11"/>
        <rFont val="WenQuanYi Zen Hei"/>
        <family val="2"/>
      </rPr>
      <t xml:space="preserve">、受擊退 </t>
    </r>
    <r>
      <rPr>
        <sz val="11"/>
        <rFont val="Arial"/>
        <family val="0"/>
        <charset val="1"/>
      </rPr>
      <t xml:space="preserve">×0.3</t>
    </r>
    <r>
      <rPr>
        <sz val="11"/>
        <rFont val="WenQuanYi Zen Hei"/>
        <family val="2"/>
      </rPr>
      <t xml:space="preserve">。玩家生命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，敵人子彈與碰撞大多造成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點傷害。</t>
    </r>
  </si>
  <si>
    <t xml:space="preserve">武器</t>
  </si>
  <si>
    <r>
      <rPr>
        <sz val="11"/>
        <rFont val="WenQuanYi Zen Hei"/>
        <family val="2"/>
      </rPr>
      <t xml:space="preserve">理論 </t>
    </r>
    <r>
      <rPr>
        <sz val="11"/>
        <rFont val="Arial"/>
        <family val="0"/>
        <charset val="1"/>
      </rPr>
      <t xml:space="preserve">DPS</t>
    </r>
    <r>
      <rPr>
        <sz val="11"/>
        <rFont val="WenQuanYi Zen Hei"/>
        <family val="2"/>
      </rPr>
      <t xml:space="preserve">＝每發傷害 </t>
    </r>
    <r>
      <rPr>
        <sz val="11"/>
        <rFont val="Arial"/>
        <family val="0"/>
        <charset val="1"/>
      </rPr>
      <t xml:space="preserve">× </t>
    </r>
    <r>
      <rPr>
        <sz val="11"/>
        <rFont val="WenQuanYi Zen Hei"/>
        <family val="2"/>
      </rPr>
      <t xml:space="preserve">每次擊發子彈數 </t>
    </r>
    <r>
      <rPr>
        <sz val="11"/>
        <rFont val="Arial"/>
        <family val="0"/>
        <charset val="1"/>
      </rPr>
      <t xml:space="preserve">÷ </t>
    </r>
    <r>
      <rPr>
        <sz val="11"/>
        <rFont val="WenQuanYi Zen Hei"/>
        <family val="2"/>
      </rPr>
      <t xml:space="preserve">射擊間隔，假設全部命中、不含換彈；毛筆需近身全中、圓規去回可命中兩次。連射卡的射速上限是每 </t>
    </r>
    <r>
      <rPr>
        <sz val="11"/>
        <rFont val="Arial"/>
        <family val="0"/>
        <charset val="1"/>
      </rPr>
      <t xml:space="preserve">0.06 </t>
    </r>
    <r>
      <rPr>
        <sz val="11"/>
        <rFont val="WenQuanYi Zen Hei"/>
        <family val="2"/>
      </rPr>
      <t xml:space="preserve">秒一發。螢光筆為光束，子彈速度／存活欄位不適用。</t>
    </r>
  </si>
  <si>
    <t xml:space="preserve">範例</t>
  </si>
  <si>
    <t xml:space="preserve">卡牌分頁「散射」那一列的修改建議欄示範了填寫格式。</t>
  </si>
  <si>
    <t xml:space="preserve">ID</t>
  </si>
  <si>
    <t xml:space="preserve">名稱</t>
  </si>
  <si>
    <t xml:space="preserve">分類</t>
  </si>
  <si>
    <t xml:space="preserve">類型</t>
  </si>
  <si>
    <t xml:space="preserve">施放方式</t>
  </si>
  <si>
    <t xml:space="preserve">瞄準</t>
  </si>
  <si>
    <t xml:space="preserve">距離</t>
  </si>
  <si>
    <t xml:space="preserve">解鎖等級</t>
  </si>
  <si>
    <t xml:space="preserve">初始牌張數</t>
  </si>
  <si>
    <t xml:space="preserve">費用</t>
  </si>
  <si>
    <t xml:space="preserve">強化費用</t>
  </si>
  <si>
    <t xml:space="preserve">參數（基本）</t>
  </si>
  <si>
    <t xml:space="preserve">參數（強化）</t>
  </si>
  <si>
    <t xml:space="preserve">效果說明（基本）</t>
  </si>
  <si>
    <t xml:space="preserve">效果說明（強化）</t>
  </si>
  <si>
    <t xml:space="preserve">修改建議</t>
  </si>
  <si>
    <t xml:space="preserve">scatter</t>
  </si>
  <si>
    <t xml:space="preserve">散射</t>
  </si>
  <si>
    <t xml:space="preserve">一般牌</t>
  </si>
  <si>
    <t xml:space="preserve">攻擊</t>
  </si>
  <si>
    <t xml:space="preserve">發射</t>
  </si>
  <si>
    <t xml:space="preserve">指定方向</t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</si>
  <si>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擴散角：</t>
    </r>
    <r>
      <rPr>
        <sz val="11"/>
        <color rgb="FF0000FF"/>
        <rFont val="Arial"/>
        <family val="0"/>
        <charset val="1"/>
      </rPr>
      <t xml:space="preserve">0.7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14
</t>
    </r>
    <r>
      <rPr>
        <sz val="11"/>
        <color rgb="FF0000FF"/>
        <rFont val="WenQuanYi Zen Hei"/>
        <family val="2"/>
      </rPr>
      <t xml:space="preserve">速度：</t>
    </r>
    <r>
      <rPr>
        <sz val="11"/>
        <color rgb="FF0000FF"/>
        <rFont val="Arial"/>
        <family val="0"/>
        <charset val="1"/>
      </rPr>
      <t xml:space="preserve">26</t>
    </r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</si>
  <si>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擴散角：</t>
    </r>
    <r>
      <rPr>
        <sz val="11"/>
        <color rgb="FF0000FF"/>
        <rFont val="Arial"/>
        <family val="0"/>
        <charset val="1"/>
      </rPr>
      <t xml:space="preserve">0.85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16
</t>
    </r>
    <r>
      <rPr>
        <sz val="11"/>
        <color rgb="FF0000FF"/>
        <rFont val="WenQuanYi Zen Hei"/>
        <family val="2"/>
      </rPr>
      <t xml:space="preserve">速度：</t>
    </r>
    <r>
      <rPr>
        <sz val="11"/>
        <color rgb="FF0000FF"/>
        <rFont val="Arial"/>
        <family val="0"/>
        <charset val="1"/>
      </rPr>
      <t xml:space="preserve">28</t>
    </r>
  </si>
  <si>
    <r>
      <rPr>
        <sz val="11"/>
        <rFont val="WenQuanYi Zen Hei"/>
        <family val="2"/>
      </rPr>
      <t xml:space="preserve">朝指定方向射出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發擴散墨彈，每發 </t>
    </r>
    <r>
      <rPr>
        <sz val="11"/>
        <rFont val="Arial"/>
        <family val="0"/>
        <charset val="1"/>
      </rPr>
      <t xml:space="preserve">14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</si>
  <si>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朝指定方向射出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發擴散墨彈，每發 </t>
    </r>
    <r>
      <rPr>
        <sz val="11"/>
        <rFont val="Arial"/>
        <family val="0"/>
        <charset val="1"/>
      </rPr>
      <t xml:space="preserve">16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</si>
  <si>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例：強化版擴散角 </t>
    </r>
    <r>
      <rPr>
        <sz val="11"/>
        <rFont val="Arial"/>
        <family val="0"/>
        <charset val="1"/>
      </rPr>
      <t xml:space="preserve">0.85 </t>
    </r>
    <r>
      <rPr>
        <sz val="11"/>
        <rFont val="WenQuanYi Zen Hei"/>
        <family val="2"/>
      </rPr>
      <t xml:space="preserve">太散，改成 </t>
    </r>
    <r>
      <rPr>
        <sz val="11"/>
        <rFont val="Arial"/>
        <family val="0"/>
        <charset val="1"/>
      </rPr>
      <t xml:space="preserve">0.75</t>
    </r>
  </si>
  <si>
    <t xml:space="preserve">pierce</t>
  </si>
  <si>
    <t xml:space="preserve">穿透筆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</si>
  <si>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45
</t>
    </r>
    <r>
      <rPr>
        <sz val="11"/>
        <color rgb="FF0000FF"/>
        <rFont val="WenQuanYi Zen Hei"/>
        <family val="2"/>
      </rPr>
      <t xml:space="preserve">速度：</t>
    </r>
    <r>
      <rPr>
        <sz val="11"/>
        <color rgb="FF0000FF"/>
        <rFont val="Arial"/>
        <family val="0"/>
        <charset val="1"/>
      </rPr>
      <t xml:space="preserve">34
ramp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25</t>
    </r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</si>
  <si>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60
</t>
    </r>
    <r>
      <rPr>
        <sz val="11"/>
        <color rgb="FF0000FF"/>
        <rFont val="WenQuanYi Zen Hei"/>
        <family val="2"/>
      </rPr>
      <t xml:space="preserve">速度：</t>
    </r>
    <r>
      <rPr>
        <sz val="11"/>
        <color rgb="FF0000FF"/>
        <rFont val="Arial"/>
        <family val="0"/>
        <charset val="1"/>
      </rPr>
      <t xml:space="preserve">36
ramp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35</t>
    </r>
  </si>
  <si>
    <r>
      <rPr>
        <sz val="11"/>
        <rFont val="WenQuanYi Zen Hei"/>
        <family val="2"/>
      </rPr>
      <t xml:space="preserve">射出巨型筆尖，穿過牆壁並貫穿路徑上所有敵人，造成 </t>
    </r>
    <r>
      <rPr>
        <sz val="11"/>
        <rFont val="Arial"/>
        <family val="0"/>
        <charset val="1"/>
      </rPr>
      <t xml:space="preserve">45 </t>
    </r>
    <r>
      <rPr>
        <sz val="11"/>
        <rFont val="WenQuanYi Zen Hei"/>
        <family val="2"/>
      </rPr>
      <t xml:space="preserve">傷害；每貫穿一名敵人，傷害再提升 </t>
    </r>
    <r>
      <rPr>
        <sz val="11"/>
        <rFont val="Arial"/>
        <family val="0"/>
        <charset val="1"/>
      </rPr>
      <t xml:space="preserve">25%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</si>
  <si>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射出巨型筆尖，穿過牆壁並貫穿路徑上所有敵人，造成 </t>
    </r>
    <r>
      <rPr>
        <sz val="11"/>
        <rFont val="Arial"/>
        <family val="0"/>
        <charset val="1"/>
      </rPr>
      <t xml:space="preserve">60 </t>
    </r>
    <r>
      <rPr>
        <sz val="11"/>
        <rFont val="WenQuanYi Zen Hei"/>
        <family val="2"/>
      </rPr>
      <t xml:space="preserve">傷害；每貫穿一名敵人，傷害再提升 </t>
    </r>
    <r>
      <rPr>
        <sz val="11"/>
        <rFont val="Arial"/>
        <family val="0"/>
        <charset val="1"/>
      </rPr>
      <t xml:space="preserve">35%</t>
    </r>
    <r>
      <rPr>
        <sz val="11"/>
        <rFont val="WenQuanYi Zen Hei"/>
        <family val="2"/>
      </rPr>
      <t xml:space="preserve">。</t>
    </r>
  </si>
  <si>
    <t xml:space="preserve">homing</t>
  </si>
  <si>
    <t xml:space="preserve">追蹤墨點</t>
  </si>
  <si>
    <t xml:space="preserve">不需瞄準</t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</si>
  <si>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18</t>
    </r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</si>
  <si>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18</t>
    </r>
  </si>
  <si>
    <r>
      <rPr>
        <sz val="11"/>
        <rFont val="WenQuanYi Zen Hei"/>
        <family val="2"/>
      </rPr>
      <t xml:space="preserve">放出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顆自動追蹤敵人的墨點，每顆 </t>
    </r>
    <r>
      <rPr>
        <sz val="11"/>
        <rFont val="Arial"/>
        <family val="0"/>
        <charset val="1"/>
      </rPr>
      <t xml:space="preserve">18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</si>
  <si>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放出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顆自動追蹤敵人的墨點，每顆 </t>
    </r>
    <r>
      <rPr>
        <sz val="11"/>
        <rFont val="Arial"/>
        <family val="0"/>
        <charset val="1"/>
      </rPr>
      <t xml:space="preserve">18 </t>
    </r>
    <r>
      <rPr>
        <sz val="11"/>
        <rFont val="WenQuanYi Zen Hei"/>
        <family val="2"/>
      </rPr>
      <t xml:space="preserve">傷害。</t>
    </r>
  </si>
  <si>
    <t xml:space="preserve">bomb</t>
  </si>
  <si>
    <t xml:space="preserve">爆墨</t>
  </si>
  <si>
    <t xml:space="preserve">投擲（拋物線）</t>
  </si>
  <si>
    <t xml:space="preserve">指定地點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</si>
  <si>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40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</si>
  <si>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3.8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55</t>
    </r>
  </si>
  <si>
    <r>
      <rPr>
        <sz val="11"/>
        <rFont val="WenQuanYi Zen Hei"/>
        <family val="2"/>
      </rPr>
      <t xml:space="preserve">投出墨水炸彈，半徑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公尺內造成最多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</si>
  <si>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投出墨水炸彈，半徑 </t>
    </r>
    <r>
      <rPr>
        <sz val="11"/>
        <rFont val="Arial"/>
        <family val="0"/>
        <charset val="1"/>
      </rPr>
      <t xml:space="preserve">3.8 </t>
    </r>
    <r>
      <rPr>
        <sz val="11"/>
        <rFont val="WenQuanYi Zen Hei"/>
        <family val="2"/>
      </rPr>
      <t xml:space="preserve">公尺內造成最多 </t>
    </r>
    <r>
      <rPr>
        <sz val="11"/>
        <rFont val="Arial"/>
        <family val="0"/>
        <charset val="1"/>
      </rPr>
      <t xml:space="preserve">55 </t>
    </r>
    <r>
      <rPr>
        <sz val="11"/>
        <rFont val="WenQuanYi Zen Hei"/>
        <family val="2"/>
      </rPr>
      <t xml:space="preserve">傷害。</t>
    </r>
  </si>
  <si>
    <t xml:space="preserve">rapid</t>
  </si>
  <si>
    <t xml:space="preserve">連射</t>
  </si>
  <si>
    <t xml:space="preserve">強化自身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</si>
  <si>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</si>
  <si>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</si>
  <si>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秒內射速提升為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倍。</t>
    </r>
  </si>
  <si>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秒內射速提升為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倍。</t>
    </r>
  </si>
  <si>
    <t xml:space="preserve">pencilWall</t>
  </si>
  <si>
    <t xml:space="preserve">鉛筆牆</t>
  </si>
  <si>
    <t xml:space="preserve">地形</t>
  </si>
  <si>
    <t xml:space="preserve">繪製</t>
  </si>
  <si>
    <t xml:space="preserve">畫路徑</t>
  </si>
  <si>
    <r>
      <rPr>
        <sz val="11"/>
        <color rgb="FF0000FF"/>
        <rFont val="WenQuanYi Zen Hei"/>
        <family val="2"/>
      </rPr>
      <t xml:space="preserve">長度：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高度：</t>
    </r>
    <r>
      <rPr>
        <sz val="11"/>
        <color rgb="FF0000FF"/>
        <rFont val="Arial"/>
        <family val="0"/>
        <charset val="1"/>
      </rPr>
      <t xml:space="preserve">1.4</t>
    </r>
  </si>
  <si>
    <r>
      <rPr>
        <sz val="11"/>
        <color rgb="FF0000FF"/>
        <rFont val="WenQuanYi Zen Hei"/>
        <family val="2"/>
      </rPr>
      <t xml:space="preserve">長度：</t>
    </r>
    <r>
      <rPr>
        <sz val="11"/>
        <color rgb="FF0000FF"/>
        <rFont val="Arial"/>
        <family val="0"/>
        <charset val="1"/>
      </rPr>
      <t xml:space="preserve">11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9
</t>
    </r>
    <r>
      <rPr>
        <sz val="11"/>
        <color rgb="FF0000FF"/>
        <rFont val="WenQuanYi Zen Hei"/>
        <family val="2"/>
      </rPr>
      <t xml:space="preserve">高度：</t>
    </r>
    <r>
      <rPr>
        <sz val="11"/>
        <color rgb="FF0000FF"/>
        <rFont val="Arial"/>
        <family val="0"/>
        <charset val="1"/>
      </rPr>
      <t xml:space="preserve">1.5</t>
    </r>
  </si>
  <si>
    <r>
      <rPr>
        <sz val="11"/>
        <rFont val="WenQuanYi Zen Hei"/>
        <family val="2"/>
      </rPr>
      <t xml:space="preserve">在地上畫出最長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公尺的路徑，長出一道擋住敵彈的牆，持續 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秒後消失。</t>
    </r>
  </si>
  <si>
    <r>
      <rPr>
        <sz val="11"/>
        <rFont val="WenQuanYi Zen Hei"/>
        <family val="2"/>
      </rPr>
      <t xml:space="preserve">在地上畫出最長 </t>
    </r>
    <r>
      <rPr>
        <sz val="11"/>
        <rFont val="Arial"/>
        <family val="0"/>
        <charset val="1"/>
      </rPr>
      <t xml:space="preserve">11 </t>
    </r>
    <r>
      <rPr>
        <sz val="11"/>
        <rFont val="WenQuanYi Zen Hei"/>
        <family val="2"/>
      </rPr>
      <t xml:space="preserve">公尺的路徑，長出一道擋住敵彈的牆，持續 </t>
    </r>
    <r>
      <rPr>
        <sz val="11"/>
        <rFont val="Arial"/>
        <family val="0"/>
        <charset val="1"/>
      </rPr>
      <t xml:space="preserve">9 </t>
    </r>
    <r>
      <rPr>
        <sz val="11"/>
        <rFont val="WenQuanYi Zen Hei"/>
        <family val="2"/>
      </rPr>
      <t xml:space="preserve">秒後消失。</t>
    </r>
  </si>
  <si>
    <t xml:space="preserve">eraser</t>
  </si>
  <si>
    <t xml:space="preserve">橡皮擦</t>
  </si>
  <si>
    <t xml:space="preserve">扇形／直線掃擊</t>
  </si>
  <si>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7.5
</t>
    </r>
    <r>
      <rPr>
        <sz val="11"/>
        <color rgb="FF0000FF"/>
        <rFont val="WenQuanYi Zen Hei"/>
        <family val="2"/>
      </rPr>
      <t xml:space="preserve">角度：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擊退力：</t>
    </r>
    <r>
      <rPr>
        <sz val="11"/>
        <color rgb="FF0000FF"/>
        <rFont val="Arial"/>
        <family val="0"/>
        <charset val="1"/>
      </rPr>
      <t xml:space="preserve">16
slowTime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
slowMult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0.5</t>
    </r>
  </si>
  <si>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9.5
</t>
    </r>
    <r>
      <rPr>
        <sz val="11"/>
        <color rgb="FF0000FF"/>
        <rFont val="WenQuanYi Zen Hei"/>
        <family val="2"/>
      </rPr>
      <t xml:space="preserve">角度：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10
slowTime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2.5</t>
    </r>
  </si>
  <si>
    <r>
      <rPr>
        <sz val="11"/>
        <rFont val="WenQuanYi Zen Hei"/>
        <family val="2"/>
      </rPr>
      <t xml:space="preserve">朝指定方向揮動橡皮擦，立刻擦掉扇形範圍內所有敵彈，並對範圍內的敵人造成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傷害、擊退，再緩速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秒。</t>
    </r>
  </si>
  <si>
    <r>
      <rPr>
        <sz val="11"/>
        <rFont val="WenQuanYi Zen Hei"/>
        <family val="2"/>
      </rPr>
      <t xml:space="preserve">朝指定方向揮動橡皮擦，立刻擦掉扇形範圍內所有敵彈，並對範圍內的敵人造成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傷害、擊退，再緩速 </t>
    </r>
    <r>
      <rPr>
        <sz val="11"/>
        <rFont val="Arial"/>
        <family val="0"/>
        <charset val="1"/>
      </rPr>
      <t xml:space="preserve">2.5 </t>
    </r>
    <r>
      <rPr>
        <sz val="11"/>
        <rFont val="WenQuanYi Zen Hei"/>
        <family val="2"/>
      </rPr>
      <t xml:space="preserve">秒。</t>
    </r>
  </si>
  <si>
    <t xml:space="preserve">trap</t>
  </si>
  <si>
    <t xml:space="preserve">陷阱圈</t>
  </si>
  <si>
    <t xml:space="preserve">放置在地上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</si>
  <si>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2.6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減速：</t>
    </r>
    <r>
      <rPr>
        <sz val="11"/>
        <color rgb="FF0000FF"/>
        <rFont val="Arial"/>
        <family val="0"/>
        <charset val="1"/>
      </rPr>
      <t xml:space="preserve">0.35
</t>
    </r>
    <r>
      <rPr>
        <sz val="11"/>
        <color rgb="FF0000FF"/>
        <rFont val="WenQuanYi Zen Hei"/>
        <family val="2"/>
      </rPr>
      <t xml:space="preserve">百分比：</t>
    </r>
    <r>
      <rPr>
        <sz val="11"/>
        <color rgb="FF0000FF"/>
        <rFont val="Arial"/>
        <family val="0"/>
        <charset val="1"/>
      </rPr>
      <t xml:space="preserve">65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</si>
  <si>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3.4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減速：</t>
    </r>
    <r>
      <rPr>
        <sz val="11"/>
        <color rgb="FF0000FF"/>
        <rFont val="Arial"/>
        <family val="0"/>
        <charset val="1"/>
      </rPr>
      <t xml:space="preserve">0.25
</t>
    </r>
    <r>
      <rPr>
        <sz val="11"/>
        <color rgb="FF0000FF"/>
        <rFont val="WenQuanYi Zen Hei"/>
        <family val="2"/>
      </rPr>
      <t xml:space="preserve">百分比：</t>
    </r>
    <r>
      <rPr>
        <sz val="11"/>
        <color rgb="FF0000FF"/>
        <rFont val="Arial"/>
        <family val="0"/>
        <charset val="1"/>
      </rPr>
      <t xml:space="preserve">75</t>
    </r>
  </si>
  <si>
    <r>
      <rPr>
        <sz val="11"/>
        <rFont val="WenQuanYi Zen Hei"/>
        <family val="2"/>
      </rPr>
      <t xml:space="preserve">在地上畫一個圈，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秒內圈中敵人減速 </t>
    </r>
    <r>
      <rPr>
        <sz val="11"/>
        <rFont val="Arial"/>
        <family val="0"/>
        <charset val="1"/>
      </rPr>
      <t xml:space="preserve">65%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</si>
  <si>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在地上畫一個圈，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秒內圈中敵人減速 </t>
    </r>
    <r>
      <rPr>
        <sz val="11"/>
        <rFont val="Arial"/>
        <family val="0"/>
        <charset val="1"/>
      </rPr>
      <t xml:space="preserve">75%</t>
    </r>
    <r>
      <rPr>
        <sz val="11"/>
        <rFont val="WenQuanYi Zen Hei"/>
        <family val="2"/>
      </rPr>
      <t xml:space="preserve">。</t>
    </r>
  </si>
  <si>
    <t xml:space="preserve">paperShield</t>
  </si>
  <si>
    <t xml:space="preserve">紙盾</t>
  </si>
  <si>
    <t xml:space="preserve">防禦</t>
  </si>
  <si>
    <r>
      <rPr>
        <sz val="11"/>
        <color rgb="FF0000FF"/>
        <rFont val="WenQuanYi Zen Hei"/>
        <family val="2"/>
      </rPr>
      <t xml:space="preserve">抵擋次數：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7</t>
    </r>
  </si>
  <si>
    <r>
      <rPr>
        <sz val="11"/>
        <color rgb="FF0000FF"/>
        <rFont val="WenQuanYi Zen Hei"/>
        <family val="2"/>
      </rPr>
      <t xml:space="preserve">抵擋次數：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7</t>
    </r>
  </si>
  <si>
    <r>
      <rPr>
        <sz val="11"/>
        <rFont val="WenQuanYi Zen Hei"/>
        <family val="2"/>
      </rPr>
      <t xml:space="preserve">召喚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片環繞的紙盾，每片可抵擋一次攻擊，持續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秒。</t>
    </r>
  </si>
  <si>
    <r>
      <rPr>
        <sz val="11"/>
        <rFont val="WenQuanYi Zen Hei"/>
        <family val="2"/>
      </rPr>
      <t xml:space="preserve">召喚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片環繞的紙盾，每片可抵擋一次攻擊，持續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秒。</t>
    </r>
  </si>
  <si>
    <t xml:space="preserve">inkDash</t>
  </si>
  <si>
    <t xml:space="preserve">閃避墨跡</t>
  </si>
  <si>
    <t xml:space="preserve">衝刺</t>
  </si>
  <si>
    <r>
      <rPr>
        <sz val="11"/>
        <color rgb="FF0000FF"/>
        <rFont val="WenQuanYi Zen Hei"/>
        <family val="2"/>
      </rPr>
      <t xml:space="preserve">每秒傷害：</t>
    </r>
    <r>
      <rPr>
        <sz val="11"/>
        <color rgb="FF0000FF"/>
        <rFont val="Arial"/>
        <family val="0"/>
        <charset val="1"/>
      </rPr>
      <t xml:space="preserve">40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</si>
  <si>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color rgb="FF0000FF"/>
        <rFont val="WenQuanYi Zen Hei"/>
        <family val="2"/>
      </rPr>
      <t xml:space="preserve">每秒傷害：</t>
    </r>
    <r>
      <rPr>
        <sz val="11"/>
        <color rgb="FF0000FF"/>
        <rFont val="Arial"/>
        <family val="0"/>
        <charset val="1"/>
      </rPr>
      <t xml:space="preserve">60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</t>
    </r>
  </si>
  <si>
    <r>
      <rPr>
        <sz val="11"/>
        <rFont val="WenQuanYi Zen Hei"/>
        <family val="2"/>
      </rPr>
      <t xml:space="preserve">先往指定方向墊步一小段再衝刺（避免一起跑就撞上敵人），留下墨跡，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秒內每秒造成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</si>
  <si>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先往指定方向墊步一小段再衝刺（避免一起跑就撞上敵人），留下墨跡，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秒內每秒造成 </t>
    </r>
    <r>
      <rPr>
        <sz val="11"/>
        <rFont val="Arial"/>
        <family val="0"/>
        <charset val="1"/>
      </rPr>
      <t xml:space="preserve">60 </t>
    </r>
    <r>
      <rPr>
        <sz val="11"/>
        <rFont val="WenQuanYi Zen Hei"/>
        <family val="2"/>
      </rPr>
      <t xml:space="preserve">傷害。</t>
    </r>
  </si>
  <si>
    <t xml:space="preserve">whiteout</t>
  </si>
  <si>
    <t xml:space="preserve">修正液</t>
  </si>
  <si>
    <r>
      <rPr>
        <sz val="11"/>
        <color rgb="FF0000FF"/>
        <rFont val="WenQuanYi Zen Hei"/>
        <family val="2"/>
      </rPr>
      <t xml:space="preserve">回復：</t>
    </r>
    <r>
      <rPr>
        <sz val="11"/>
        <color rgb="FF0000FF"/>
        <rFont val="Arial"/>
        <family val="0"/>
        <charset val="1"/>
      </rPr>
      <t xml:space="preserve">1</t>
    </r>
  </si>
  <si>
    <r>
      <rPr>
        <sz val="11"/>
        <color rgb="FF0000FF"/>
        <rFont val="WenQuanYi Zen Hei"/>
        <family val="2"/>
      </rPr>
      <t xml:space="preserve">回復：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</si>
  <si>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塗上修正液，回復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點生命。</t>
    </r>
  </si>
  <si>
    <r>
      <rPr>
        <sz val="11"/>
        <rFont val="WenQuanYi Zen Hei"/>
        <family val="2"/>
      </rPr>
      <t xml:space="preserve">塗上修正液，回復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點生命。</t>
    </r>
  </si>
  <si>
    <t xml:space="preserve">shockwave</t>
  </si>
  <si>
    <t xml:space="preserve">衝擊波</t>
  </si>
  <si>
    <t xml:space="preserve">以自己為中心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</si>
  <si>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5.5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22
</t>
    </r>
    <r>
      <rPr>
        <sz val="11"/>
        <color rgb="FF0000FF"/>
        <rFont val="WenQuanYi Zen Hei"/>
        <family val="2"/>
      </rPr>
      <t xml:space="preserve">擊退力：</t>
    </r>
    <r>
      <rPr>
        <sz val="11"/>
        <color rgb="FF0000FF"/>
        <rFont val="Arial"/>
        <family val="0"/>
        <charset val="1"/>
      </rPr>
      <t xml:space="preserve">14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</si>
  <si>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22
</t>
    </r>
    <r>
      <rPr>
        <sz val="11"/>
        <color rgb="FF0000FF"/>
        <rFont val="WenQuanYi Zen Hei"/>
        <family val="2"/>
      </rPr>
      <t xml:space="preserve">擊退力：</t>
    </r>
    <r>
      <rPr>
        <sz val="11"/>
        <color rgb="FF0000FF"/>
        <rFont val="Arial"/>
        <family val="0"/>
        <charset val="1"/>
      </rPr>
      <t xml:space="preserve">16</t>
    </r>
  </si>
  <si>
    <r>
      <rPr>
        <sz val="11"/>
        <rFont val="WenQuanYi Zen Hei"/>
        <family val="2"/>
      </rPr>
      <t xml:space="preserve">以自己為中心震開半徑 </t>
    </r>
    <r>
      <rPr>
        <sz val="11"/>
        <rFont val="Arial"/>
        <family val="0"/>
        <charset val="1"/>
      </rPr>
      <t xml:space="preserve">5.5 </t>
    </r>
    <r>
      <rPr>
        <sz val="11"/>
        <rFont val="WenQuanYi Zen Hei"/>
        <family val="2"/>
      </rPr>
      <t xml:space="preserve">公尺內的敵人並造成 </t>
    </r>
    <r>
      <rPr>
        <sz val="11"/>
        <rFont val="Arial"/>
        <family val="0"/>
        <charset val="1"/>
      </rPr>
      <t xml:space="preserve">22 </t>
    </r>
    <r>
      <rPr>
        <sz val="11"/>
        <rFont val="WenQuanYi Zen Hei"/>
        <family val="2"/>
      </rPr>
      <t xml:space="preserve">傷害，同時擦掉附近敵彈。</t>
    </r>
  </si>
  <si>
    <r>
      <rPr>
        <sz val="11"/>
        <rFont val="WenQuanYi Zen Hei"/>
        <family val="2"/>
      </rPr>
      <t xml:space="preserve">以自己為中心震開半徑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公尺內的敵人並造成 </t>
    </r>
    <r>
      <rPr>
        <sz val="11"/>
        <rFont val="Arial"/>
        <family val="0"/>
        <charset val="1"/>
      </rPr>
      <t xml:space="preserve">22 </t>
    </r>
    <r>
      <rPr>
        <sz val="11"/>
        <rFont val="WenQuanYi Zen Hei"/>
        <family val="2"/>
      </rPr>
      <t xml:space="preserve">傷害，同時擦掉附近敵彈。</t>
    </r>
  </si>
  <si>
    <t xml:space="preserve">bounceBall</t>
  </si>
  <si>
    <t xml:space="preserve">彈跳皮球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</si>
  <si>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15
bounces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</si>
  <si>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15
bounces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</si>
  <si>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丟出皮球（傷害 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），能穿過敵人並在牆上反彈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次。</t>
    </r>
  </si>
  <si>
    <r>
      <rPr>
        <sz val="11"/>
        <rFont val="WenQuanYi Zen Hei"/>
        <family val="2"/>
      </rPr>
      <t xml:space="preserve">丟出皮球（傷害 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），能穿過敵人並在牆上反彈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次。</t>
    </r>
  </si>
  <si>
    <t xml:space="preserve">miniShield</t>
  </si>
  <si>
    <t xml:space="preserve">小紙盾</t>
  </si>
  <si>
    <r>
      <rPr>
        <sz val="11"/>
        <color rgb="FF0000FF"/>
        <rFont val="WenQuanYi Zen Hei"/>
        <family val="2"/>
      </rPr>
      <t xml:space="preserve">抵擋次數：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8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</si>
  <si>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12</t>
    </r>
  </si>
  <si>
    <r>
      <rPr>
        <sz val="11"/>
        <rFont val="WenQuanYi Zen Hei"/>
        <family val="2"/>
      </rPr>
      <t xml:space="preserve">獲得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片紙盾，持續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秒（可以和其他紙盾疊加）。</t>
    </r>
  </si>
  <si>
    <r>
      <rPr>
        <sz val="11"/>
        <rFont val="WenQuanYi Zen Hei"/>
        <family val="2"/>
      </rPr>
      <t xml:space="preserve">獲得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片紙盾，持續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秒（可以和其他紙盾疊加）。</t>
    </r>
  </si>
  <si>
    <t xml:space="preserve">mark</t>
  </si>
  <si>
    <t xml:space="preserve">標記</t>
  </si>
  <si>
    <t xml:space="preserve">輔助</t>
  </si>
  <si>
    <t xml:space="preserve">指定目標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</si>
  <si>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</si>
  <si>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3.5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</si>
  <si>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標記目標附近的一名敵人，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秒內受到的傷害變為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倍。</t>
    </r>
  </si>
  <si>
    <r>
      <rPr>
        <sz val="11"/>
        <rFont val="WenQuanYi Zen Hei"/>
        <family val="2"/>
      </rPr>
      <t xml:space="preserve">標記目標附近的一名敵人，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秒內受到的傷害變為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倍。</t>
    </r>
  </si>
  <si>
    <t xml:space="preserve">haste</t>
  </si>
  <si>
    <t xml:space="preserve">疾筆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</si>
  <si>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1.4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</si>
  <si>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1.5</t>
    </r>
  </si>
  <si>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秒內移動速度與衝刺冷卻加快為 </t>
    </r>
    <r>
      <rPr>
        <sz val="11"/>
        <rFont val="Arial"/>
        <family val="0"/>
        <charset val="1"/>
      </rPr>
      <t xml:space="preserve">1.4 </t>
    </r>
    <r>
      <rPr>
        <sz val="11"/>
        <rFont val="WenQuanYi Zen Hei"/>
        <family val="2"/>
      </rPr>
      <t xml:space="preserve">倍。</t>
    </r>
  </si>
  <si>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秒內移動速度與衝刺冷卻加快為 </t>
    </r>
    <r>
      <rPr>
        <sz val="11"/>
        <rFont val="Arial"/>
        <family val="0"/>
        <charset val="1"/>
      </rPr>
      <t xml:space="preserve">1.5 </t>
    </r>
    <r>
      <rPr>
        <sz val="11"/>
        <rFont val="WenQuanYi Zen Hei"/>
        <family val="2"/>
      </rPr>
      <t xml:space="preserve">倍。</t>
    </r>
  </si>
  <si>
    <t xml:space="preserve">spareMag</t>
  </si>
  <si>
    <t xml:space="preserve">備用彈匣</t>
  </si>
  <si>
    <r>
      <rPr>
        <sz val="11"/>
        <color rgb="FF0000FF"/>
        <rFont val="Arial"/>
        <family val="0"/>
        <charset val="1"/>
      </rPr>
      <t xml:space="preserve">redraw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</t>
    </r>
  </si>
  <si>
    <r>
      <rPr>
        <sz val="11"/>
        <rFont val="WenQuanYi Zen Hei"/>
        <family val="2"/>
      </rPr>
      <t xml:space="preserve">立刻補滿彈匣（螢光筆熱度歸零，圓規重置投擲冷卻），並增加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次重抽次數。</t>
    </r>
  </si>
  <si>
    <t xml:space="preserve">（同基本）</t>
  </si>
  <si>
    <t xml:space="preserve">clone</t>
  </si>
  <si>
    <t xml:space="preserve">分身</t>
  </si>
  <si>
    <t xml:space="preserve">召喚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</si>
  <si>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8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</si>
  <si>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10</t>
    </r>
  </si>
  <si>
    <r>
      <rPr>
        <sz val="11"/>
        <rFont val="WenQuanYi Zen Hei"/>
        <family val="2"/>
      </rPr>
      <t xml:space="preserve">在目標位置畫出一個分身，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秒內自動射擊（每發 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</si>
  <si>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在目標位置畫出一個分身，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秒內自動射擊（每發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）。</t>
    </r>
  </si>
  <si>
    <t xml:space="preserve">stamp</t>
  </si>
  <si>
    <t xml:space="preserve">蓋章</t>
  </si>
  <si>
    <t xml:space="preserve">從天而降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</si>
  <si>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2.2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20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</si>
  <si>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2.2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20
stun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</si>
  <si>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在目標蓋下大印章，半徑 </t>
    </r>
    <r>
      <rPr>
        <sz val="11"/>
        <rFont val="Arial"/>
        <family val="0"/>
        <charset val="1"/>
      </rPr>
      <t xml:space="preserve">2.2 </t>
    </r>
    <r>
      <rPr>
        <sz val="11"/>
        <rFont val="WenQuanYi Zen Hei"/>
        <family val="2"/>
      </rPr>
      <t xml:space="preserve">公尺內的敵人都受到 </t>
    </r>
    <r>
      <rPr>
        <sz val="11"/>
        <rFont val="Arial"/>
        <family val="0"/>
        <charset val="1"/>
      </rPr>
      <t xml:space="preserve">20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</si>
  <si>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在目標蓋下大印章，半徑 </t>
    </r>
    <r>
      <rPr>
        <sz val="11"/>
        <rFont val="Arial"/>
        <family val="0"/>
        <charset val="1"/>
      </rPr>
      <t xml:space="preserve">2.2 </t>
    </r>
    <r>
      <rPr>
        <sz val="11"/>
        <rFont val="WenQuanYi Zen Hei"/>
        <family val="2"/>
      </rPr>
      <t xml:space="preserve">公尺內的敵人都受到 </t>
    </r>
    <r>
      <rPr>
        <sz val="11"/>
        <rFont val="Arial"/>
        <family val="0"/>
        <charset val="1"/>
      </rPr>
      <t xml:space="preserve">20 </t>
    </r>
    <r>
      <rPr>
        <sz val="11"/>
        <rFont val="WenQuanYi Zen Hei"/>
        <family val="2"/>
      </rPr>
      <t xml:space="preserve">傷害，並暈眩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秒、打斷攻擊。</t>
    </r>
  </si>
  <si>
    <t xml:space="preserve">inkMine</t>
  </si>
  <si>
    <t xml:space="preserve">墨水地雷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</si>
  <si>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50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</si>
  <si>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3.6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70</t>
    </r>
  </si>
  <si>
    <r>
      <rPr>
        <sz val="11"/>
        <rFont val="WenQuanYi Zen Hei"/>
        <family val="2"/>
      </rPr>
      <t xml:space="preserve">在地上埋一顆地雷，敵人靠近時爆炸，半徑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公尺內造成 </t>
    </r>
    <r>
      <rPr>
        <sz val="11"/>
        <rFont val="Arial"/>
        <family val="0"/>
        <charset val="1"/>
      </rPr>
      <t xml:space="preserve">50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</si>
  <si>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在地上埋一顆地雷，敵人靠近時爆炸，半徑 </t>
    </r>
    <r>
      <rPr>
        <sz val="11"/>
        <rFont val="Arial"/>
        <family val="0"/>
        <charset val="1"/>
      </rPr>
      <t xml:space="preserve">3.6 </t>
    </r>
    <r>
      <rPr>
        <sz val="11"/>
        <rFont val="WenQuanYi Zen Hei"/>
        <family val="2"/>
      </rPr>
      <t xml:space="preserve">公尺內造成 </t>
    </r>
    <r>
      <rPr>
        <sz val="11"/>
        <rFont val="Arial"/>
        <family val="0"/>
        <charset val="1"/>
      </rPr>
      <t xml:space="preserve">70 </t>
    </r>
    <r>
      <rPr>
        <sz val="11"/>
        <rFont val="WenQuanYi Zen Hei"/>
        <family val="2"/>
      </rPr>
      <t xml:space="preserve">傷害。</t>
    </r>
  </si>
  <si>
    <t xml:space="preserve">blot</t>
  </si>
  <si>
    <t xml:space="preserve">吸墨紙</t>
  </si>
  <si>
    <t xml:space="preserve">自身範圍（滑出施放）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</si>
  <si>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每次：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</si>
  <si>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5.5
</t>
    </r>
    <r>
      <rPr>
        <sz val="11"/>
        <color rgb="FF0000FF"/>
        <rFont val="WenQuanYi Zen Hei"/>
        <family val="2"/>
      </rPr>
      <t xml:space="preserve">每次：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</si>
  <si>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吸走身邊半徑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公尺內的所有敵彈，每吸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發獲得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墨水（最多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</si>
  <si>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吸走身邊半徑 </t>
    </r>
    <r>
      <rPr>
        <sz val="11"/>
        <rFont val="Arial"/>
        <family val="0"/>
        <charset val="1"/>
      </rPr>
      <t xml:space="preserve">5.5 </t>
    </r>
    <r>
      <rPr>
        <sz val="11"/>
        <rFont val="WenQuanYi Zen Hei"/>
        <family val="2"/>
      </rPr>
      <t xml:space="preserve">公尺內的所有敵彈，每吸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發獲得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墨水（最多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）。</t>
    </r>
  </si>
  <si>
    <t xml:space="preserve">timeStop</t>
  </si>
  <si>
    <t xml:space="preserve">時停</t>
  </si>
  <si>
    <t xml:space="preserve">全場效果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</si>
  <si>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</si>
  <si>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</si>
  <si>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rFont val="WenQuanYi Zen Hei"/>
        <family val="2"/>
      </rPr>
      <t xml:space="preserve">凍結所有敵彈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秒，世界翻轉為負片。</t>
    </r>
  </si>
  <si>
    <r>
      <rPr>
        <sz val="11"/>
        <rFont val="WenQuanYi Zen Hei"/>
        <family val="2"/>
      </rPr>
      <t xml:space="preserve">凍結所有敵彈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秒，世界翻轉為負片。</t>
    </r>
  </si>
  <si>
    <t xml:space="preserve">pin</t>
  </si>
  <si>
    <t xml:space="preserve">釘住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</si>
  <si>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3.2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2.5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</si>
  <si>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3.5</t>
    </r>
  </si>
  <si>
    <r>
      <rPr>
        <sz val="11"/>
        <rFont val="WenQuanYi Zen Hei"/>
        <family val="2"/>
      </rPr>
      <t xml:space="preserve">把目標附近半徑 </t>
    </r>
    <r>
      <rPr>
        <sz val="11"/>
        <rFont val="Arial"/>
        <family val="0"/>
        <charset val="1"/>
      </rPr>
      <t xml:space="preserve">3.2 </t>
    </r>
    <r>
      <rPr>
        <sz val="11"/>
        <rFont val="WenQuanYi Zen Hei"/>
        <family val="2"/>
      </rPr>
      <t xml:space="preserve">公尺內的敵人釘在原地 </t>
    </r>
    <r>
      <rPr>
        <sz val="11"/>
        <rFont val="Arial"/>
        <family val="0"/>
        <charset val="1"/>
      </rPr>
      <t xml:space="preserve">2.5 </t>
    </r>
    <r>
      <rPr>
        <sz val="11"/>
        <rFont val="WenQuanYi Zen Hei"/>
        <family val="2"/>
      </rPr>
      <t xml:space="preserve">秒（首領效果減為 </t>
    </r>
    <r>
      <rPr>
        <sz val="11"/>
        <rFont val="Arial"/>
        <family val="0"/>
        <charset val="1"/>
      </rPr>
      <t xml:space="preserve">30%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</si>
  <si>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把目標附近半徑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公尺內的敵人釘在原地 </t>
    </r>
    <r>
      <rPr>
        <sz val="11"/>
        <rFont val="Arial"/>
        <family val="0"/>
        <charset val="1"/>
      </rPr>
      <t xml:space="preserve">3.5 </t>
    </r>
    <r>
      <rPr>
        <sz val="11"/>
        <rFont val="WenQuanYi Zen Hei"/>
        <family val="2"/>
      </rPr>
      <t xml:space="preserve">秒（首領效果減為 </t>
    </r>
    <r>
      <rPr>
        <sz val="11"/>
        <rFont val="Arial"/>
        <family val="0"/>
        <charset val="1"/>
      </rPr>
      <t xml:space="preserve">30%</t>
    </r>
    <r>
      <rPr>
        <sz val="11"/>
        <rFont val="WenQuanYi Zen Hei"/>
        <family val="2"/>
      </rPr>
      <t xml:space="preserve">）。</t>
    </r>
  </si>
  <si>
    <t xml:space="preserve">sketchLeap</t>
  </si>
  <si>
    <t xml:space="preserve">速寫後撤</t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</si>
  <si>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15</t>
    </r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</si>
  <si>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12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18</t>
    </r>
  </si>
  <si>
    <r>
      <rPr>
        <sz val="11"/>
        <rFont val="WenQuanYi Zen Hei"/>
        <family val="2"/>
      </rPr>
      <t xml:space="preserve">從目前位置跳到目標位置，起跳與落地時各向四周射出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發墨彈（每發 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），跳躍中不會受傷。</t>
    </r>
  </si>
  <si>
    <r>
      <rPr>
        <sz val="11"/>
        <rFont val="WenQuanYi Zen Hei"/>
        <family val="2"/>
      </rPr>
      <t xml:space="preserve">從目前位置跳到目標位置，起跳與落地時各向四周射出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發墨彈（每發 </t>
    </r>
    <r>
      <rPr>
        <sz val="11"/>
        <rFont val="Arial"/>
        <family val="0"/>
        <charset val="1"/>
      </rPr>
      <t xml:space="preserve">18</t>
    </r>
    <r>
      <rPr>
        <sz val="11"/>
        <rFont val="WenQuanYi Zen Hei"/>
        <family val="2"/>
      </rPr>
      <t xml:space="preserve">），跳躍中不會受傷。</t>
    </r>
  </si>
  <si>
    <t xml:space="preserve">paperBlade</t>
  </si>
  <si>
    <t xml:space="preserve">紙飛刃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</si>
  <si>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22
</t>
    </r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8</t>
    </r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</si>
  <si>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30
</t>
    </r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10</t>
    </r>
  </si>
  <si>
    <r>
      <rPr>
        <sz val="11"/>
        <rFont val="WenQuanYi Zen Hei"/>
        <family val="2"/>
      </rPr>
      <t xml:space="preserve">擲出紙飛刃，飛出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公尺後折返；去程與回程各對路徑上的敵人造成 </t>
    </r>
    <r>
      <rPr>
        <sz val="11"/>
        <rFont val="Arial"/>
        <family val="0"/>
        <charset val="1"/>
      </rPr>
      <t xml:space="preserve">22 </t>
    </r>
    <r>
      <rPr>
        <sz val="11"/>
        <rFont val="WenQuanYi Zen Hei"/>
        <family val="2"/>
      </rPr>
      <t xml:space="preserve">傷害，並切掉碰到的敵彈。</t>
    </r>
  </si>
  <si>
    <r>
      <rPr>
        <sz val="11"/>
        <rFont val="WenQuanYi Zen Hei"/>
        <family val="2"/>
      </rPr>
      <t xml:space="preserve">擲出紙飛刃，飛出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公尺後折返；去程與回程各對路徑上的敵人造成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傷害，並切掉碰到的敵彈。</t>
    </r>
  </si>
  <si>
    <t xml:space="preserve">boxFort</t>
  </si>
  <si>
    <t xml:space="preserve">紙箱陣</t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</si>
  <si>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抵擋次數：</t>
    </r>
    <r>
      <rPr>
        <sz val="11"/>
        <color rgb="FF0000FF"/>
        <rFont val="Arial"/>
        <family val="0"/>
        <charset val="1"/>
      </rPr>
      <t xml:space="preserve">1</t>
    </r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</si>
  <si>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</si>
  <si>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在目標處放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個紙箱，可以擋下敵彈；任何武器或敵彈打一下就會破。打破時 </t>
    </r>
    <r>
      <rPr>
        <sz val="11"/>
        <rFont val="Arial"/>
        <family val="0"/>
        <charset val="1"/>
      </rPr>
      <t xml:space="preserve">40% </t>
    </r>
    <r>
      <rPr>
        <sz val="11"/>
        <rFont val="WenQuanYi Zen Hei"/>
        <family val="2"/>
      </rPr>
      <t xml:space="preserve">沒有掉落、</t>
    </r>
    <r>
      <rPr>
        <sz val="11"/>
        <rFont val="Arial"/>
        <family val="0"/>
        <charset val="1"/>
      </rPr>
      <t xml:space="preserve">20% </t>
    </r>
    <r>
      <rPr>
        <sz val="11"/>
        <rFont val="WenQuanYi Zen Hei"/>
        <family val="2"/>
      </rPr>
      <t xml:space="preserve">掉出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點生命、</t>
    </r>
    <r>
      <rPr>
        <sz val="11"/>
        <rFont val="Arial"/>
        <family val="0"/>
        <charset val="1"/>
      </rPr>
      <t xml:space="preserve">40% </t>
    </r>
    <r>
      <rPr>
        <sz val="11"/>
        <rFont val="WenQuanYi Zen Hei"/>
        <family val="2"/>
      </rPr>
      <t xml:space="preserve">掉出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墨水。</t>
    </r>
  </si>
  <si>
    <r>
      <rPr>
        <sz val="11"/>
        <rFont val="WenQuanYi Zen Hei"/>
        <family val="2"/>
      </rPr>
      <t xml:space="preserve">在目標處放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個紙箱，可以擋下敵彈；任何武器或敵彈打一下就會破。打破時 </t>
    </r>
    <r>
      <rPr>
        <sz val="11"/>
        <rFont val="Arial"/>
        <family val="0"/>
        <charset val="1"/>
      </rPr>
      <t xml:space="preserve">40% </t>
    </r>
    <r>
      <rPr>
        <sz val="11"/>
        <rFont val="WenQuanYi Zen Hei"/>
        <family val="2"/>
      </rPr>
      <t xml:space="preserve">沒有掉落、</t>
    </r>
    <r>
      <rPr>
        <sz val="11"/>
        <rFont val="Arial"/>
        <family val="0"/>
        <charset val="1"/>
      </rPr>
      <t xml:space="preserve">20% </t>
    </r>
    <r>
      <rPr>
        <sz val="11"/>
        <rFont val="WenQuanYi Zen Hei"/>
        <family val="2"/>
      </rPr>
      <t xml:space="preserve">掉出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點生命、</t>
    </r>
    <r>
      <rPr>
        <sz val="11"/>
        <rFont val="Arial"/>
        <family val="0"/>
        <charset val="1"/>
      </rPr>
      <t xml:space="preserve">40% </t>
    </r>
    <r>
      <rPr>
        <sz val="11"/>
        <rFont val="WenQuanYi Zen Hei"/>
        <family val="2"/>
      </rPr>
      <t xml:space="preserve">掉出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墨水。</t>
    </r>
  </si>
  <si>
    <t xml:space="preserve">chain</t>
  </si>
  <si>
    <t xml:space="preserve">連鎖墨線</t>
  </si>
  <si>
    <t xml:space="preserve">連鎖跳躍</t>
  </si>
  <si>
    <r>
      <rPr>
        <sz val="11"/>
        <color rgb="FF0000FF"/>
        <rFont val="WenQuanYi Zen Hei"/>
        <family val="2"/>
      </rPr>
      <t xml:space="preserve">跳躍次數：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25
</t>
    </r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6</t>
    </r>
  </si>
  <si>
    <r>
      <rPr>
        <sz val="11"/>
        <color rgb="FF0000FF"/>
        <rFont val="WenQuanYi Zen Hei"/>
        <family val="2"/>
      </rPr>
      <t xml:space="preserve">跳躍次數：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30
</t>
    </r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7</t>
    </r>
  </si>
  <si>
    <r>
      <rPr>
        <sz val="11"/>
        <rFont val="WenQuanYi Zen Hei"/>
        <family val="2"/>
      </rPr>
      <t xml:space="preserve">墨線在敵人之間跳躍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次，每次造成 </t>
    </r>
    <r>
      <rPr>
        <sz val="11"/>
        <rFont val="Arial"/>
        <family val="0"/>
        <charset val="1"/>
      </rPr>
      <t xml:space="preserve">25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</si>
  <si>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墨線在敵人之間跳躍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次，每次造成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傷害。</t>
    </r>
  </si>
  <si>
    <t xml:space="preserve">ruler</t>
  </si>
  <si>
    <t xml:space="preserve">尺子</t>
  </si>
  <si>
    <r>
      <rPr>
        <sz val="11"/>
        <color rgb="FF0000FF"/>
        <rFont val="WenQuanYi Zen Hei"/>
        <family val="2"/>
      </rPr>
      <t xml:space="preserve">長度：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8
bonus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30</t>
    </r>
  </si>
  <si>
    <r>
      <rPr>
        <sz val="11"/>
        <color rgb="FF0000FF"/>
        <rFont val="WenQuanYi Zen Hei"/>
        <family val="2"/>
      </rPr>
      <t xml:space="preserve">長度：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10
bonus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40</t>
    </r>
  </si>
  <si>
    <r>
      <rPr>
        <sz val="11"/>
        <rFont val="WenQuanYi Zen Hei"/>
        <family val="2"/>
      </rPr>
      <t xml:space="preserve">放一把半透明的尺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秒，不擋子彈；你的子彈穿過它傷害 </t>
    </r>
    <r>
      <rPr>
        <sz val="11"/>
        <rFont val="Arial"/>
        <family val="0"/>
        <charset val="1"/>
      </rPr>
      <t xml:space="preserve">+30%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</si>
  <si>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放一把半透明的尺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秒，不擋子彈；你的子彈穿過它傷害 </t>
    </r>
    <r>
      <rPr>
        <sz val="11"/>
        <rFont val="Arial"/>
        <family val="0"/>
        <charset val="1"/>
      </rPr>
      <t xml:space="preserve">+40%</t>
    </r>
    <r>
      <rPr>
        <sz val="11"/>
        <rFont val="WenQuanYi Zen Hei"/>
        <family val="2"/>
      </rPr>
      <t xml:space="preserve">。</t>
    </r>
  </si>
  <si>
    <t xml:space="preserve">inkRain</t>
  </si>
  <si>
    <t xml:space="preserve">墨雨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</si>
  <si>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3.5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18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</si>
  <si>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11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20</t>
    </r>
  </si>
  <si>
    <r>
      <rPr>
        <sz val="11"/>
        <rFont val="WenQuanYi Zen Hei"/>
        <family val="2"/>
      </rPr>
      <t xml:space="preserve">在目標區域降下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滴墨水，每滴造成 </t>
    </r>
    <r>
      <rPr>
        <sz val="11"/>
        <rFont val="Arial"/>
        <family val="0"/>
        <charset val="1"/>
      </rPr>
      <t xml:space="preserve">18 </t>
    </r>
    <r>
      <rPr>
        <sz val="11"/>
        <rFont val="WenQuanYi Zen Hei"/>
        <family val="2"/>
      </rPr>
      <t xml:space="preserve">範圍傷害。</t>
    </r>
  </si>
  <si>
    <r>
      <rPr>
        <sz val="11"/>
        <rFont val="WenQuanYi Zen Hei"/>
        <family val="2"/>
      </rPr>
      <t xml:space="preserve">在目標區域降下 </t>
    </r>
    <r>
      <rPr>
        <sz val="11"/>
        <rFont val="Arial"/>
        <family val="0"/>
        <charset val="1"/>
      </rPr>
      <t xml:space="preserve">11 </t>
    </r>
    <r>
      <rPr>
        <sz val="11"/>
        <rFont val="WenQuanYi Zen Hei"/>
        <family val="2"/>
      </rPr>
      <t xml:space="preserve">滴墨水，每滴造成 </t>
    </r>
    <r>
      <rPr>
        <sz val="11"/>
        <rFont val="Arial"/>
        <family val="0"/>
        <charset val="1"/>
      </rPr>
      <t xml:space="preserve">20 </t>
    </r>
    <r>
      <rPr>
        <sz val="11"/>
        <rFont val="WenQuanYi Zen Hei"/>
        <family val="2"/>
      </rPr>
      <t xml:space="preserve">範圍傷害。</t>
    </r>
  </si>
  <si>
    <t xml:space="preserve">inkField</t>
  </si>
  <si>
    <t xml:space="preserve">墨刺地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</si>
  <si>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2.5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每秒傷害：</t>
    </r>
    <r>
      <rPr>
        <sz val="11"/>
        <color rgb="FF0000FF"/>
        <rFont val="Arial"/>
        <family val="0"/>
        <charset val="1"/>
      </rPr>
      <t xml:space="preserve">24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</si>
  <si>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每秒傷害：</t>
    </r>
    <r>
      <rPr>
        <sz val="11"/>
        <color rgb="FF0000FF"/>
        <rFont val="Arial"/>
        <family val="0"/>
        <charset val="1"/>
      </rPr>
      <t xml:space="preserve">32</t>
    </r>
  </si>
  <si>
    <r>
      <rPr>
        <sz val="11"/>
        <rFont val="WenQuanYi Zen Hei"/>
        <family val="2"/>
      </rPr>
      <t xml:space="preserve">在目標處鋪一片半徑 </t>
    </r>
    <r>
      <rPr>
        <sz val="11"/>
        <rFont val="Arial"/>
        <family val="0"/>
        <charset val="1"/>
      </rPr>
      <t xml:space="preserve">2.5 </t>
    </r>
    <r>
      <rPr>
        <sz val="11"/>
        <rFont val="WenQuanYi Zen Hei"/>
        <family val="2"/>
      </rPr>
      <t xml:space="preserve">公尺的墨刺地，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秒內每秒對其中的地面敵人造成 </t>
    </r>
    <r>
      <rPr>
        <sz val="11"/>
        <rFont val="Arial"/>
        <family val="0"/>
        <charset val="1"/>
      </rPr>
      <t xml:space="preserve">24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</si>
  <si>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在目標處鋪一片半徑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公尺的墨刺地，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秒內每秒對其中的地面敵人造成 </t>
    </r>
    <r>
      <rPr>
        <sz val="11"/>
        <rFont val="Arial"/>
        <family val="0"/>
        <charset val="1"/>
      </rPr>
      <t xml:space="preserve">32 </t>
    </r>
    <r>
      <rPr>
        <sz val="11"/>
        <rFont val="WenQuanYi Zen Hei"/>
        <family val="2"/>
      </rPr>
      <t xml:space="preserve">傷害。</t>
    </r>
  </si>
  <si>
    <t xml:space="preserve">reflect</t>
  </si>
  <si>
    <t xml:space="preserve">反彈紙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</si>
  <si>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4.5</t>
    </r>
  </si>
  <si>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秒內，碰到你的敵彈會被反彈回去攻擊敵人。</t>
    </r>
  </si>
  <si>
    <r>
      <rPr>
        <sz val="11"/>
        <rFont val="Arial"/>
        <family val="0"/>
        <charset val="1"/>
      </rPr>
      <t xml:space="preserve">4.5 </t>
    </r>
    <r>
      <rPr>
        <sz val="11"/>
        <rFont val="WenQuanYi Zen Hei"/>
        <family val="2"/>
      </rPr>
      <t xml:space="preserve">秒內，碰到你的敵彈會被反彈回去攻擊敵人。</t>
    </r>
  </si>
  <si>
    <t xml:space="preserve">crossCut</t>
  </si>
  <si>
    <t xml:space="preserve">四面射擊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</si>
  <si>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22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速度：</t>
    </r>
    <r>
      <rPr>
        <sz val="11"/>
        <color rgb="FF0000FF"/>
        <rFont val="Arial"/>
        <family val="0"/>
        <charset val="1"/>
      </rPr>
      <t xml:space="preserve">30</t>
    </r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</si>
  <si>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30</t>
    </r>
  </si>
  <si>
    <r>
      <rPr>
        <sz val="11"/>
        <rFont val="WenQuanYi Zen Hei"/>
        <family val="2"/>
      </rPr>
      <t xml:space="preserve">以面向為正面，朝前、後、左、右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個方向各射出一道穿透墨線，每道 </t>
    </r>
    <r>
      <rPr>
        <sz val="11"/>
        <rFont val="Arial"/>
        <family val="0"/>
        <charset val="1"/>
      </rPr>
      <t xml:space="preserve">22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</si>
  <si>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以面向為正面，朝前、後、左、右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個方向各射出一道穿透墨線，每道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傷害。</t>
    </r>
  </si>
  <si>
    <t xml:space="preserve">inkWell</t>
  </si>
  <si>
    <t xml:space="preserve">墨水補給</t>
  </si>
  <si>
    <r>
      <rPr>
        <sz val="11"/>
        <color rgb="FF0000FF"/>
        <rFont val="WenQuanYi Zen Hei"/>
        <family val="2"/>
      </rPr>
      <t xml:space="preserve">墨水：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</si>
  <si>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color rgb="FF0000FF"/>
        <rFont val="WenQuanYi Zen Hei"/>
        <family val="2"/>
      </rPr>
      <t xml:space="preserve">墨水：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</si>
  <si>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立刻獲得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點墨水。</t>
    </r>
  </si>
  <si>
    <r>
      <rPr>
        <sz val="11"/>
        <rFont val="WenQuanYi Zen Hei"/>
        <family val="2"/>
      </rPr>
      <t xml:space="preserve">立刻獲得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點墨水。</t>
    </r>
  </si>
  <si>
    <t xml:space="preserve">recopy</t>
  </si>
  <si>
    <t xml:space="preserve">重抄筆記</t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</si>
  <si>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</si>
  <si>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rFont val="WenQuanYi Zen Hei"/>
        <family val="2"/>
      </rPr>
      <t xml:space="preserve">立刻重新抽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張手牌（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張一般牌＋特殊技格），不消耗重抽次數。</t>
    </r>
  </si>
  <si>
    <t xml:space="preserve">clusterBomb</t>
  </si>
  <si>
    <t xml:space="preserve">分裂墨彈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</si>
  <si>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2.2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30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</si>
  <si>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36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6</t>
    </r>
  </si>
  <si>
    <r>
      <rPr>
        <sz val="11"/>
        <rFont val="WenQuanYi Zen Hei"/>
        <family val="2"/>
      </rPr>
      <t xml:space="preserve">投出會分裂的墨彈：主爆炸造成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傷害，接著向四周炸出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顆小墨彈。</t>
    </r>
  </si>
  <si>
    <r>
      <rPr>
        <sz val="11"/>
        <rFont val="WenQuanYi Zen Hei"/>
        <family val="2"/>
      </rPr>
      <t xml:space="preserve">投出會分裂的墨彈：主爆炸造成 </t>
    </r>
    <r>
      <rPr>
        <sz val="11"/>
        <rFont val="Arial"/>
        <family val="0"/>
        <charset val="1"/>
      </rPr>
      <t xml:space="preserve">36 </t>
    </r>
    <r>
      <rPr>
        <sz val="11"/>
        <rFont val="WenQuanYi Zen Hei"/>
        <family val="2"/>
      </rPr>
      <t xml:space="preserve">傷害，接著向四周炸出 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顆小墨彈。</t>
    </r>
  </si>
  <si>
    <t xml:space="preserve">bearTrap</t>
  </si>
  <si>
    <t xml:space="preserve">捕獸夾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</si>
  <si>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10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50
stun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
bossStun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0.5</t>
    </r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</si>
  <si>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70</t>
    </r>
  </si>
  <si>
    <r>
      <rPr>
        <sz val="11"/>
        <rFont val="WenQuanYi Zen Hei"/>
        <family val="2"/>
      </rPr>
      <t xml:space="preserve">在目標處放捕獸夾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秒；敵人踩到時受到 </t>
    </r>
    <r>
      <rPr>
        <sz val="11"/>
        <rFont val="Arial"/>
        <family val="0"/>
        <charset val="1"/>
      </rPr>
      <t xml:space="preserve">50 </t>
    </r>
    <r>
      <rPr>
        <sz val="11"/>
        <rFont val="WenQuanYi Zen Hei"/>
        <family val="2"/>
      </rPr>
      <t xml:space="preserve">傷害並被夾住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秒（頭目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秒）。</t>
    </r>
  </si>
  <si>
    <r>
      <rPr>
        <sz val="11"/>
        <rFont val="WenQuanYi Zen Hei"/>
        <family val="2"/>
      </rPr>
      <t xml:space="preserve">在目標處放捕獸夾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秒；敵人踩到時受到 </t>
    </r>
    <r>
      <rPr>
        <sz val="11"/>
        <rFont val="Arial"/>
        <family val="0"/>
        <charset val="1"/>
      </rPr>
      <t xml:space="preserve">70 </t>
    </r>
    <r>
      <rPr>
        <sz val="11"/>
        <rFont val="WenQuanYi Zen Hei"/>
        <family val="2"/>
      </rPr>
      <t xml:space="preserve">傷害並被夾住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秒（頭目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秒）。</t>
    </r>
  </si>
  <si>
    <t xml:space="preserve">umbrella</t>
  </si>
  <si>
    <t xml:space="preserve">紙傘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</si>
  <si>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角度：</t>
    </r>
    <r>
      <rPr>
        <sz val="11"/>
        <color rgb="FF0000FF"/>
        <rFont val="Arial"/>
        <family val="0"/>
        <charset val="1"/>
      </rPr>
      <t xml:space="preserve">120
</t>
    </r>
    <r>
      <rPr>
        <sz val="11"/>
        <color rgb="FF0000FF"/>
        <rFont val="WenQuanYi Zen Hei"/>
        <family val="2"/>
      </rPr>
      <t xml:space="preserve">百分比：</t>
    </r>
    <r>
      <rPr>
        <sz val="11"/>
        <color rgb="FF0000FF"/>
        <rFont val="Arial"/>
        <family val="0"/>
        <charset val="1"/>
      </rPr>
      <t xml:space="preserve">30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</si>
  <si>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</t>
    </r>
  </si>
  <si>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秒內舉傘，面向方向 </t>
    </r>
    <r>
      <rPr>
        <sz val="11"/>
        <rFont val="Arial"/>
        <family val="0"/>
        <charset val="1"/>
      </rPr>
      <t xml:space="preserve">120 </t>
    </r>
    <r>
      <rPr>
        <sz val="11"/>
        <rFont val="WenQuanYi Zen Hei"/>
        <family val="2"/>
      </rPr>
      <t xml:space="preserve">度扇形內擋下所有敵彈，移動速度 −</t>
    </r>
    <r>
      <rPr>
        <sz val="11"/>
        <rFont val="Arial"/>
        <family val="0"/>
        <charset val="1"/>
      </rPr>
      <t xml:space="preserve">30%</t>
    </r>
    <r>
      <rPr>
        <sz val="11"/>
        <rFont val="WenQuanYi Zen Hei"/>
        <family val="2"/>
      </rPr>
      <t xml:space="preserve">。</t>
    </r>
  </si>
  <si>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秒內舉傘，面向方向 </t>
    </r>
    <r>
      <rPr>
        <sz val="11"/>
        <rFont val="Arial"/>
        <family val="0"/>
        <charset val="1"/>
      </rPr>
      <t xml:space="preserve">120 </t>
    </r>
    <r>
      <rPr>
        <sz val="11"/>
        <rFont val="WenQuanYi Zen Hei"/>
        <family val="2"/>
      </rPr>
      <t xml:space="preserve">度扇形內擋下所有敵彈，移動速度 −</t>
    </r>
    <r>
      <rPr>
        <sz val="11"/>
        <rFont val="Arial"/>
        <family val="0"/>
        <charset val="1"/>
      </rPr>
      <t xml:space="preserve">30%</t>
    </r>
    <r>
      <rPr>
        <sz val="11"/>
        <rFont val="WenQuanYi Zen Hei"/>
        <family val="2"/>
      </rPr>
      <t xml:space="preserve">。</t>
    </r>
  </si>
  <si>
    <t xml:space="preserve">plant</t>
  </si>
  <si>
    <t xml:space="preserve">站樁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</si>
  <si>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
bonus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40</t>
    </r>
  </si>
  <si>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秒內你站著不動時，武器傷害 </t>
    </r>
    <r>
      <rPr>
        <sz val="11"/>
        <rFont val="Arial"/>
        <family val="0"/>
        <charset val="1"/>
      </rPr>
      <t xml:space="preserve">+40%</t>
    </r>
    <r>
      <rPr>
        <sz val="11"/>
        <rFont val="WenQuanYi Zen Hei"/>
        <family val="2"/>
      </rPr>
      <t xml:space="preserve">，子彈不散布。</t>
    </r>
  </si>
  <si>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秒內你站著不動時，武器傷害 </t>
    </r>
    <r>
      <rPr>
        <sz val="11"/>
        <rFont val="Arial"/>
        <family val="0"/>
        <charset val="1"/>
      </rPr>
      <t xml:space="preserve">+40%</t>
    </r>
    <r>
      <rPr>
        <sz val="11"/>
        <rFont val="WenQuanYi Zen Hei"/>
        <family val="2"/>
      </rPr>
      <t xml:space="preserve">，子彈不散布。</t>
    </r>
  </si>
  <si>
    <t xml:space="preserve">alarmClock</t>
  </si>
  <si>
    <t xml:space="preserve">延遲鬧鐘</t>
  </si>
  <si>
    <r>
      <rPr>
        <sz val="11"/>
        <color rgb="FF0000FF"/>
        <rFont val="Arial"/>
        <family val="0"/>
        <charset val="1"/>
      </rPr>
      <t xml:space="preserve">delay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40
stun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</t>
    </r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</si>
  <si>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55</t>
    </r>
  </si>
  <si>
    <r>
      <rPr>
        <sz val="11"/>
        <rFont val="WenQuanYi Zen Hei"/>
        <family val="2"/>
      </rPr>
      <t xml:space="preserve">在目標處放鬧鐘，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秒後響起，半徑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公尺內的敵人受到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傷害並暈眩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秒。</t>
    </r>
  </si>
  <si>
    <r>
      <rPr>
        <sz val="11"/>
        <rFont val="WenQuanYi Zen Hei"/>
        <family val="2"/>
      </rPr>
      <t xml:space="preserve">在目標處放鬧鐘，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秒後響起，半徑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公尺內的敵人受到 </t>
    </r>
    <r>
      <rPr>
        <sz val="11"/>
        <rFont val="Arial"/>
        <family val="0"/>
        <charset val="1"/>
      </rPr>
      <t xml:space="preserve">55 </t>
    </r>
    <r>
      <rPr>
        <sz val="11"/>
        <rFont val="WenQuanYi Zen Hei"/>
        <family val="2"/>
      </rPr>
      <t xml:space="preserve">傷害並暈眩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秒。</t>
    </r>
  </si>
  <si>
    <t xml:space="preserve">slowShot</t>
  </si>
  <si>
    <t xml:space="preserve">減速射擊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</si>
  <si>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10
step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15
</t>
    </r>
    <r>
      <rPr>
        <sz val="11"/>
        <color rgb="FF0000FF"/>
        <rFont val="WenQuanYi Zen Hei"/>
        <family val="2"/>
      </rPr>
      <t xml:space="preserve">間隔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0.5
</t>
    </r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70</t>
    </r>
  </si>
  <si>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90</t>
    </r>
  </si>
  <si>
    <r>
      <rPr>
        <sz val="11"/>
        <rFont val="WenQuanYi Zen Hei"/>
        <family val="2"/>
      </rPr>
      <t xml:space="preserve">射出一顆慢速子彈，傷害隨飛行時間遞增：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起，每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秒 </t>
    </r>
    <r>
      <rPr>
        <sz val="11"/>
        <rFont val="Arial"/>
        <family val="0"/>
        <charset val="1"/>
      </rPr>
      <t xml:space="preserve">+15</t>
    </r>
    <r>
      <rPr>
        <sz val="11"/>
        <rFont val="WenQuanYi Zen Hei"/>
        <family val="2"/>
      </rPr>
      <t xml:space="preserve">，最高 </t>
    </r>
    <r>
      <rPr>
        <sz val="11"/>
        <rFont val="Arial"/>
        <family val="0"/>
        <charset val="1"/>
      </rPr>
      <t xml:space="preserve">70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</si>
  <si>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射出一顆慢速子彈，傷害隨飛行時間遞增：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起，每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秒 </t>
    </r>
    <r>
      <rPr>
        <sz val="11"/>
        <rFont val="Arial"/>
        <family val="0"/>
        <charset val="1"/>
      </rPr>
      <t xml:space="preserve">+15</t>
    </r>
    <r>
      <rPr>
        <sz val="11"/>
        <rFont val="WenQuanYi Zen Hei"/>
        <family val="2"/>
      </rPr>
      <t xml:space="preserve">，最高 </t>
    </r>
    <r>
      <rPr>
        <sz val="11"/>
        <rFont val="Arial"/>
        <family val="0"/>
        <charset val="1"/>
      </rPr>
      <t xml:space="preserve">90</t>
    </r>
    <r>
      <rPr>
        <sz val="11"/>
        <rFont val="WenQuanYi Zen Hei"/>
        <family val="2"/>
      </rPr>
      <t xml:space="preserve">。</t>
    </r>
  </si>
  <si>
    <t xml:space="preserve">mirror</t>
  </si>
  <si>
    <t xml:space="preserve">鏡子</t>
  </si>
  <si>
    <r>
      <rPr>
        <sz val="11"/>
        <color rgb="FF0000FF"/>
        <rFont val="WenQuanYi Zen Hei"/>
        <family val="2"/>
      </rPr>
      <t xml:space="preserve">長度：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</si>
  <si>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9</t>
    </r>
  </si>
  <si>
    <r>
      <rPr>
        <sz val="11"/>
        <rFont val="WenQuanYi Zen Hei"/>
        <family val="2"/>
      </rPr>
      <t xml:space="preserve">在目標處立一面寬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公尺的鏡子，持續 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秒，敵彈撞到會反彈回去攻擊敵人。</t>
    </r>
  </si>
  <si>
    <r>
      <rPr>
        <sz val="11"/>
        <rFont val="WenQuanYi Zen Hei"/>
        <family val="2"/>
      </rPr>
      <t xml:space="preserve">在目標處立一面寬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公尺的鏡子，持續 </t>
    </r>
    <r>
      <rPr>
        <sz val="11"/>
        <rFont val="Arial"/>
        <family val="0"/>
        <charset val="1"/>
      </rPr>
      <t xml:space="preserve">9 </t>
    </r>
    <r>
      <rPr>
        <sz val="11"/>
        <rFont val="WenQuanYi Zen Hei"/>
        <family val="2"/>
      </rPr>
      <t xml:space="preserve">秒，敵彈撞到會反彈回去攻擊敵人。</t>
    </r>
  </si>
  <si>
    <t xml:space="preserve">sponge</t>
  </si>
  <si>
    <t xml:space="preserve">墨水海綿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</si>
  <si>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4.5
</t>
    </r>
    <r>
      <rPr>
        <sz val="11"/>
        <color rgb="FF0000FF"/>
        <rFont val="WenQuanYi Zen Hei"/>
        <family val="2"/>
      </rPr>
      <t xml:space="preserve">每次：</t>
    </r>
    <r>
      <rPr>
        <sz val="11"/>
        <color rgb="FF0000FF"/>
        <rFont val="Arial"/>
        <family val="0"/>
        <charset val="1"/>
      </rPr>
      <t xml:space="preserve">40
</t>
    </r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100
</t>
    </r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3.6</t>
    </r>
  </si>
  <si>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140</t>
    </r>
  </si>
  <si>
    <r>
      <rPr>
        <sz val="11"/>
        <rFont val="Arial"/>
        <family val="0"/>
        <charset val="1"/>
      </rPr>
      <t xml:space="preserve">4.5 </t>
    </r>
    <r>
      <rPr>
        <sz val="11"/>
        <rFont val="WenQuanYi Zen Hei"/>
        <family val="2"/>
      </rPr>
      <t xml:space="preserve">秒內吸收所有受到的傷害（不扣血），結束時以「吸收點數 </t>
    </r>
    <r>
      <rPr>
        <sz val="11"/>
        <rFont val="Arial"/>
        <family val="0"/>
        <charset val="1"/>
      </rPr>
      <t xml:space="preserve">× 40</t>
    </r>
    <r>
      <rPr>
        <sz val="11"/>
        <rFont val="WenQuanYi Zen Hei"/>
        <family val="2"/>
      </rPr>
      <t xml:space="preserve">」在半徑 </t>
    </r>
    <r>
      <rPr>
        <sz val="11"/>
        <rFont val="Arial"/>
        <family val="0"/>
        <charset val="1"/>
      </rPr>
      <t xml:space="preserve">3.6 </t>
    </r>
    <r>
      <rPr>
        <sz val="11"/>
        <rFont val="WenQuanYi Zen Hei"/>
        <family val="2"/>
      </rPr>
      <t xml:space="preserve">公尺內爆炸，傷害上限 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。</t>
    </r>
  </si>
  <si>
    <r>
      <rPr>
        <sz val="11"/>
        <rFont val="Arial"/>
        <family val="0"/>
        <charset val="1"/>
      </rPr>
      <t xml:space="preserve">4.5 </t>
    </r>
    <r>
      <rPr>
        <sz val="11"/>
        <rFont val="WenQuanYi Zen Hei"/>
        <family val="2"/>
      </rPr>
      <t xml:space="preserve">秒內吸收所有受到的傷害（不扣血），結束時以「吸收點數 </t>
    </r>
    <r>
      <rPr>
        <sz val="11"/>
        <rFont val="Arial"/>
        <family val="0"/>
        <charset val="1"/>
      </rPr>
      <t xml:space="preserve">× 40</t>
    </r>
    <r>
      <rPr>
        <sz val="11"/>
        <rFont val="WenQuanYi Zen Hei"/>
        <family val="2"/>
      </rPr>
      <t xml:space="preserve">」在半徑 </t>
    </r>
    <r>
      <rPr>
        <sz val="11"/>
        <rFont val="Arial"/>
        <family val="0"/>
        <charset val="1"/>
      </rPr>
      <t xml:space="preserve">3.6 </t>
    </r>
    <r>
      <rPr>
        <sz val="11"/>
        <rFont val="WenQuanYi Zen Hei"/>
        <family val="2"/>
      </rPr>
      <t xml:space="preserve">公尺內爆炸，傷害上限 </t>
    </r>
    <r>
      <rPr>
        <sz val="11"/>
        <rFont val="Arial"/>
        <family val="0"/>
        <charset val="1"/>
      </rPr>
      <t xml:space="preserve">140</t>
    </r>
    <r>
      <rPr>
        <sz val="11"/>
        <rFont val="WenQuanYi Zen Hei"/>
        <family val="2"/>
      </rPr>
      <t xml:space="preserve">。</t>
    </r>
  </si>
  <si>
    <t xml:space="preserve">grudge</t>
  </si>
  <si>
    <t xml:space="preserve">記仇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</si>
  <si>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15
</t>
    </r>
    <r>
      <rPr>
        <sz val="11"/>
        <color rgb="FF0000FF"/>
        <rFont val="WenQuanYi Zen Hei"/>
        <family val="2"/>
      </rPr>
      <t xml:space="preserve">每次：</t>
    </r>
    <r>
      <rPr>
        <sz val="11"/>
        <color rgb="FF0000FF"/>
        <rFont val="Arial"/>
        <family val="0"/>
        <charset val="1"/>
      </rPr>
      <t xml:space="preserve">10
</t>
    </r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60
</t>
    </r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</si>
  <si>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color rgb="FF0000FF"/>
        <rFont val="WenQuanYi Zen Hei"/>
        <family val="2"/>
      </rPr>
      <t xml:space="preserve">每次：</t>
    </r>
    <r>
      <rPr>
        <sz val="11"/>
        <color rgb="FF0000FF"/>
        <rFont val="Arial"/>
        <family val="0"/>
        <charset val="1"/>
      </rPr>
      <t xml:space="preserve">15
</t>
    </r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80</t>
    </r>
  </si>
  <si>
    <r>
      <rPr>
        <sz val="11"/>
        <rFont val="WenQuanYi Zen Hei"/>
        <family val="2"/>
      </rPr>
      <t xml:space="preserve">圈選範圍內一名敵人，造成 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＋本頁被打到的次數 </t>
    </r>
    <r>
      <rPr>
        <sz val="11"/>
        <rFont val="Arial"/>
        <family val="0"/>
        <charset val="1"/>
      </rPr>
      <t xml:space="preserve">× 10 </t>
    </r>
    <r>
      <rPr>
        <sz val="11"/>
        <rFont val="WenQuanYi Zen Hei"/>
        <family val="2"/>
      </rPr>
      <t xml:space="preserve">傷害（上限 </t>
    </r>
    <r>
      <rPr>
        <sz val="11"/>
        <rFont val="Arial"/>
        <family val="0"/>
        <charset val="1"/>
      </rPr>
      <t xml:space="preserve">60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</si>
  <si>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圈選範圍內一名敵人，造成 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＋本頁被打到的次數 </t>
    </r>
    <r>
      <rPr>
        <sz val="11"/>
        <rFont val="Arial"/>
        <family val="0"/>
        <charset val="1"/>
      </rPr>
      <t xml:space="preserve">× 15 </t>
    </r>
    <r>
      <rPr>
        <sz val="11"/>
        <rFont val="WenQuanYi Zen Hei"/>
        <family val="2"/>
      </rPr>
      <t xml:space="preserve">傷害（上限 </t>
    </r>
    <r>
      <rPr>
        <sz val="11"/>
        <rFont val="Arial"/>
        <family val="0"/>
        <charset val="1"/>
      </rPr>
      <t xml:space="preserve">80</t>
    </r>
    <r>
      <rPr>
        <sz val="11"/>
        <rFont val="WenQuanYi Zen Hei"/>
        <family val="2"/>
      </rPr>
      <t xml:space="preserve">）。</t>
    </r>
  </si>
  <si>
    <t xml:space="preserve">reserve</t>
  </si>
  <si>
    <t xml:space="preserve">預約</t>
  </si>
  <si>
    <r>
      <rPr>
        <sz val="11"/>
        <color rgb="FF0000FF"/>
        <rFont val="Arial"/>
        <family val="0"/>
        <charset val="1"/>
      </rPr>
      <t xml:space="preserve">delay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</si>
  <si>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color rgb="FF0000FF"/>
        <rFont val="Arial"/>
        <family val="0"/>
        <charset val="1"/>
      </rPr>
      <t xml:space="preserve">delay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</si>
  <si>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你打出的下一張一般牌，會在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秒後自動免費再施放一次；特殊技不適用，也不能預約預約。</t>
    </r>
  </si>
  <si>
    <r>
      <rPr>
        <sz val="11"/>
        <rFont val="WenQuanYi Zen Hei"/>
        <family val="2"/>
      </rPr>
      <t xml:space="preserve">你打出的下一張一般牌，會在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秒後自動免費再施放一次；特殊技不適用，也不能預約預約。</t>
    </r>
  </si>
  <si>
    <t xml:space="preserve">execute</t>
  </si>
  <si>
    <t xml:space="preserve">紅墨處決</t>
  </si>
  <si>
    <t xml:space="preserve">特殊技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</si>
  <si>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250
</t>
    </r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</si>
  <si>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對目標範圍內的敵人造成 </t>
    </r>
    <r>
      <rPr>
        <sz val="11"/>
        <rFont val="Arial"/>
        <family val="0"/>
        <charset val="1"/>
      </rPr>
      <t xml:space="preserve">250 </t>
    </r>
    <r>
      <rPr>
        <sz val="11"/>
        <rFont val="WenQuanYi Zen Hei"/>
        <family val="2"/>
      </rPr>
      <t xml:space="preserve">點毀滅性傷害：優先頭目，其次菁英怪，再來才是最近的敵人。</t>
    </r>
  </si>
  <si>
    <t xml:space="preserve">tsunami</t>
  </si>
  <si>
    <t xml:space="preserve">墨水海嘯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</si>
  <si>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75
</t>
    </r>
    <r>
      <rPr>
        <sz val="11"/>
        <color rgb="FF0000FF"/>
        <rFont val="WenQuanYi Zen Hei"/>
        <family val="2"/>
      </rPr>
      <t xml:space="preserve">寬度：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長度：</t>
    </r>
    <r>
      <rPr>
        <sz val="11"/>
        <color rgb="FF0000FF"/>
        <rFont val="Arial"/>
        <family val="0"/>
        <charset val="1"/>
      </rPr>
      <t xml:space="preserve">18</t>
    </r>
  </si>
  <si>
    <r>
      <rPr>
        <sz val="11"/>
        <rFont val="WenQuanYi Zen Hei"/>
        <family val="2"/>
      </rPr>
      <t xml:space="preserve">掀起一道墨浪橫掃前方，對所有敵人造成 </t>
    </r>
    <r>
      <rPr>
        <sz val="11"/>
        <rFont val="Arial"/>
        <family val="0"/>
        <charset val="1"/>
      </rPr>
      <t xml:space="preserve">75 </t>
    </r>
    <r>
      <rPr>
        <sz val="11"/>
        <rFont val="WenQuanYi Zen Hei"/>
        <family val="2"/>
      </rPr>
      <t xml:space="preserve">傷害並沖走敵彈。</t>
    </r>
  </si>
  <si>
    <t xml:space="preserve">dualWield</t>
  </si>
  <si>
    <t xml:space="preserve">雙持</t>
  </si>
  <si>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秒內左手也拿起一把同樣的武器，每次攻擊兩把一起發射；時間到時會把左手的武器甩掉收起。</t>
    </r>
  </si>
  <si>
    <t xml:space="preserve">inkBarrier</t>
  </si>
  <si>
    <t xml:space="preserve">紙壘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</si>
  <si>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</t>
    </r>
  </si>
  <si>
    <r>
      <rPr>
        <sz val="11"/>
        <rFont val="WenQuanYi Zen Hei"/>
        <family val="2"/>
      </rPr>
      <t xml:space="preserve">用一整圈紙牆把自己包住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秒：期間刀槍不入、不受任何傷害，敵彈會被紙牆擋下。</t>
    </r>
  </si>
  <si>
    <t xml:space="preserve">redraw</t>
  </si>
  <si>
    <t xml:space="preserve">重畫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</si>
  <si>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5.5</t>
    </r>
  </si>
  <si>
    <r>
      <rPr>
        <sz val="11"/>
        <rFont val="WenQuanYi Zen Hei"/>
        <family val="2"/>
      </rPr>
      <t xml:space="preserve">重新提筆：</t>
    </r>
    <r>
      <rPr>
        <sz val="11"/>
        <rFont val="Arial"/>
        <family val="0"/>
        <charset val="1"/>
      </rPr>
      <t xml:space="preserve">5.5 </t>
    </r>
    <r>
      <rPr>
        <sz val="11"/>
        <rFont val="WenQuanYi Zen Hei"/>
        <family val="2"/>
      </rPr>
      <t xml:space="preserve">秒內施放一般卡都不消耗墨水（特殊技仍需墨水）。</t>
    </r>
  </si>
  <si>
    <t xml:space="preserve">echo</t>
  </si>
  <si>
    <t xml:space="preserve">回聲</t>
  </si>
  <si>
    <t xml:space="preserve">重播</t>
  </si>
  <si>
    <r>
      <rPr>
        <sz val="11"/>
        <color rgb="FF0000FF"/>
        <rFont val="WenQuanYi Zen Hei"/>
        <family val="2"/>
      </rPr>
      <t xml:space="preserve">墨水：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</si>
  <si>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免費再施放一次你上一張使用的特殊卡（自動瞄準最近的敵人）；若還沒用過特殊卡則獲得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墨水。</t>
    </r>
  </si>
  <si>
    <t xml:space="preserve">blackHole</t>
  </si>
  <si>
    <t xml:space="preserve">墨漩渦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</si>
  <si>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5.5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2.5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90
</t>
    </r>
    <r>
      <rPr>
        <sz val="11"/>
        <color rgb="FF0000FF"/>
        <rFont val="WenQuanYi Zen Hei"/>
        <family val="2"/>
      </rPr>
      <t xml:space="preserve">單體傷害：</t>
    </r>
    <r>
      <rPr>
        <sz val="11"/>
        <color rgb="FF0000FF"/>
        <rFont val="Arial"/>
        <family val="0"/>
        <charset val="1"/>
      </rPr>
      <t xml:space="preserve">100</t>
    </r>
  </si>
  <si>
    <r>
      <rPr>
        <sz val="11"/>
        <rFont val="WenQuanYi Zen Hei"/>
        <family val="2"/>
      </rPr>
      <t xml:space="preserve">在目標處形成漩渦，把半徑 </t>
    </r>
    <r>
      <rPr>
        <sz val="11"/>
        <rFont val="Arial"/>
        <family val="0"/>
        <charset val="1"/>
      </rPr>
      <t xml:space="preserve">5.5 </t>
    </r>
    <r>
      <rPr>
        <sz val="11"/>
        <rFont val="WenQuanYi Zen Hei"/>
        <family val="2"/>
      </rPr>
      <t xml:space="preserve">公尺內的敵人吸過來，</t>
    </r>
    <r>
      <rPr>
        <sz val="11"/>
        <rFont val="Arial"/>
        <family val="0"/>
        <charset val="1"/>
      </rPr>
      <t xml:space="preserve">2.5 </t>
    </r>
    <r>
      <rPr>
        <sz val="11"/>
        <rFont val="WenQuanYi Zen Hei"/>
        <family val="2"/>
      </rPr>
      <t xml:space="preserve">秒後爆炸造成 </t>
    </r>
    <r>
      <rPr>
        <sz val="11"/>
        <rFont val="Arial"/>
        <family val="0"/>
        <charset val="1"/>
      </rPr>
      <t xml:space="preserve">90 </t>
    </r>
    <r>
      <rPr>
        <sz val="11"/>
        <rFont val="WenQuanYi Zen Hei"/>
        <family val="2"/>
      </rPr>
      <t xml:space="preserve">傷害；只炸到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個敵人時改為 </t>
    </r>
    <r>
      <rPr>
        <sz val="11"/>
        <rFont val="Arial"/>
        <family val="0"/>
        <charset val="1"/>
      </rPr>
      <t xml:space="preserve">100 </t>
    </r>
    <r>
      <rPr>
        <sz val="11"/>
        <rFont val="WenQuanYi Zen Hei"/>
        <family val="2"/>
      </rPr>
      <t xml:space="preserve">傷害。</t>
    </r>
  </si>
  <si>
    <t xml:space="preserve">slowMo</t>
  </si>
  <si>
    <t xml:space="preserve">慢速播放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</si>
  <si>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百分比：</t>
    </r>
    <r>
      <rPr>
        <sz val="11"/>
        <color rgb="FF0000FF"/>
        <rFont val="Arial"/>
        <family val="0"/>
        <charset val="1"/>
      </rPr>
      <t xml:space="preserve">40
boss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70</t>
    </r>
  </si>
  <si>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秒內敵人與敵彈速度降為 </t>
    </r>
    <r>
      <rPr>
        <sz val="11"/>
        <rFont val="Arial"/>
        <family val="0"/>
        <charset val="1"/>
      </rPr>
      <t xml:space="preserve">40%</t>
    </r>
    <r>
      <rPr>
        <sz val="11"/>
        <rFont val="WenQuanYi Zen Hei"/>
        <family val="2"/>
      </rPr>
      <t xml:space="preserve">（頭目 </t>
    </r>
    <r>
      <rPr>
        <sz val="11"/>
        <rFont val="Arial"/>
        <family val="0"/>
        <charset val="1"/>
      </rPr>
      <t xml:space="preserve">70%</t>
    </r>
    <r>
      <rPr>
        <sz val="11"/>
        <rFont val="WenQuanYi Zen Hei"/>
        <family val="2"/>
      </rPr>
      <t xml:space="preserve">），你不受影響。</t>
    </r>
  </si>
  <si>
    <t xml:space="preserve">puppet</t>
  </si>
  <si>
    <t xml:space="preserve">傀儡</t>
  </si>
  <si>
    <r>
      <rPr>
        <sz val="11"/>
        <rFont val="WenQuanYi Zen Hei"/>
        <family val="2"/>
      </rPr>
      <t xml:space="preserve">放出不會攻擊的傀儡（從天而降砸在目標位置），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秒內所有敵人都會被吸引、往傀儡移動；這段時間你不會受到任何子彈（遠程攻擊）的傷害，被子彈打中也不會扣紙盾。衝撞、砸地等近身攻擊仍會受傷。</t>
    </r>
  </si>
  <si>
    <t xml:space="preserve">barrage</t>
  </si>
  <si>
    <t xml:space="preserve">百筆齊發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</si>
  <si>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12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36</t>
    </r>
  </si>
  <si>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秒內連續放出 </t>
    </r>
    <r>
      <rPr>
        <sz val="11"/>
        <rFont val="Arial"/>
        <family val="0"/>
        <charset val="1"/>
      </rPr>
      <t xml:space="preserve">36 </t>
    </r>
    <r>
      <rPr>
        <sz val="11"/>
        <rFont val="WenQuanYi Zen Hei"/>
        <family val="2"/>
      </rPr>
      <t xml:space="preserve">支追蹤筆，每支造成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傷害。</t>
    </r>
  </si>
  <si>
    <t xml:space="preserve">giantPen</t>
  </si>
  <si>
    <t xml:space="preserve">巨筆一劃</t>
  </si>
  <si>
    <t xml:space="preserve">直線光束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</si>
  <si>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210
</t>
    </r>
    <r>
      <rPr>
        <sz val="11"/>
        <color rgb="FF0000FF"/>
        <rFont val="WenQuanYi Zen Hei"/>
        <family val="2"/>
      </rPr>
      <t xml:space="preserve">寬度：</t>
    </r>
    <r>
      <rPr>
        <sz val="11"/>
        <color rgb="FF0000FF"/>
        <rFont val="Arial"/>
        <family val="0"/>
        <charset val="1"/>
      </rPr>
      <t xml:space="preserve">2.8</t>
    </r>
  </si>
  <si>
    <r>
      <rPr>
        <sz val="11"/>
        <rFont val="WenQuanYi Zen Hei"/>
        <family val="2"/>
      </rPr>
      <t xml:space="preserve">用巨筆朝指定方向劃過整個房間，路徑上所有敵人受到 </t>
    </r>
    <r>
      <rPr>
        <sz val="11"/>
        <rFont val="Arial"/>
        <family val="0"/>
        <charset val="1"/>
      </rPr>
      <t xml:space="preserve">210 </t>
    </r>
    <r>
      <rPr>
        <sz val="11"/>
        <rFont val="WenQuanYi Zen Hei"/>
        <family val="2"/>
      </rPr>
      <t xml:space="preserve">傷害。</t>
    </r>
  </si>
  <si>
    <t xml:space="preserve">freezeAll</t>
  </si>
  <si>
    <t xml:space="preserve">定格</t>
  </si>
  <si>
    <r>
      <rPr>
        <sz val="11"/>
        <rFont val="WenQuanYi Zen Hei"/>
        <family val="2"/>
      </rPr>
      <t xml:space="preserve">畫面定格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秒：所有敵人與敵彈完全靜止，首領也不例外。</t>
    </r>
  </si>
  <si>
    <t xml:space="preserve">firstAid</t>
  </si>
  <si>
    <t xml:space="preserve">急救圈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</si>
  <si>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2.5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回復：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間隔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</si>
  <si>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在腳下畫半徑 </t>
    </r>
    <r>
      <rPr>
        <sz val="11"/>
        <rFont val="Arial"/>
        <family val="0"/>
        <charset val="1"/>
      </rPr>
      <t xml:space="preserve">2.5 </t>
    </r>
    <r>
      <rPr>
        <sz val="11"/>
        <rFont val="WenQuanYi Zen Hei"/>
        <family val="2"/>
      </rPr>
      <t xml:space="preserve">公尺的圈，持續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秒；站在圈內時每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秒回復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點生命（最多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點）。</t>
    </r>
  </si>
  <si>
    <t xml:space="preserve">luckyDice</t>
  </si>
  <si>
    <t xml:space="preserve">幸運骰</t>
  </si>
  <si>
    <r>
      <rPr>
        <sz val="11"/>
        <color rgb="FF0000FF"/>
        <rFont val="WenQuanYi Zen Hei"/>
        <family val="2"/>
      </rPr>
      <t xml:space="preserve">每次：</t>
    </r>
    <r>
      <rPr>
        <sz val="11"/>
        <color rgb="FF0000FF"/>
        <rFont val="Arial"/>
        <family val="0"/>
        <charset val="1"/>
      </rPr>
      <t xml:space="preserve">30
</t>
    </r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</si>
  <si>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演出時骰出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，對圈內最近的一名敵人造成「點數 </t>
    </r>
    <r>
      <rPr>
        <sz val="11"/>
        <rFont val="Arial"/>
        <family val="0"/>
        <charset val="1"/>
      </rPr>
      <t xml:space="preserve">× 30</t>
    </r>
    <r>
      <rPr>
        <sz val="11"/>
        <rFont val="WenQuanYi Zen Hei"/>
        <family val="2"/>
      </rPr>
      <t xml:space="preserve">」傷害。</t>
    </r>
  </si>
  <si>
    <t xml:space="preserve">inkStorm</t>
  </si>
  <si>
    <t xml:space="preserve">墨暴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</si>
  <si>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40
</t>
    </r>
    <r>
      <rPr>
        <sz val="11"/>
        <color rgb="FF0000FF"/>
        <rFont val="WenQuanYi Zen Hei"/>
        <family val="2"/>
      </rPr>
      <t xml:space="preserve">間隔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0.45</t>
    </r>
  </si>
  <si>
    <r>
      <rPr>
        <sz val="11"/>
        <rFont val="WenQuanYi Zen Hei"/>
        <family val="2"/>
      </rPr>
      <t xml:space="preserve">召喚墨暴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秒，每 </t>
    </r>
    <r>
      <rPr>
        <sz val="11"/>
        <rFont val="Arial"/>
        <family val="0"/>
        <charset val="1"/>
      </rPr>
      <t xml:space="preserve">0.45 </t>
    </r>
    <r>
      <rPr>
        <sz val="11"/>
        <rFont val="WenQuanYi Zen Hei"/>
        <family val="2"/>
      </rPr>
      <t xml:space="preserve">秒劈中一名隨機敵人，造成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傷害。</t>
    </r>
  </si>
  <si>
    <t xml:space="preserve">rewind</t>
  </si>
  <si>
    <t xml:space="preserve">倒帶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</si>
  <si>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12
</t>
    </r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20</t>
    </r>
  </si>
  <si>
    <r>
      <rPr>
        <sz val="11"/>
        <rFont val="WenQuanYi Zen Hei"/>
        <family val="2"/>
      </rPr>
      <t xml:space="preserve">立刻把場上的敵彈變成你的子彈，各自飛向最近的敵人，每發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傷害，最多轉換 </t>
    </r>
    <r>
      <rPr>
        <sz val="11"/>
        <rFont val="Arial"/>
        <family val="0"/>
        <charset val="1"/>
      </rPr>
      <t xml:space="preserve">20 </t>
    </r>
    <r>
      <rPr>
        <sz val="11"/>
        <rFont val="WenQuanYi Zen Hei"/>
        <family val="2"/>
      </rPr>
      <t xml:space="preserve">發。</t>
    </r>
  </si>
  <si>
    <t xml:space="preserve">fullInk</t>
  </si>
  <si>
    <t xml:space="preserve">滿格墨水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</si>
  <si>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8
bonus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20</t>
    </r>
  </si>
  <si>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秒內武器不用換彈，傷害 </t>
    </r>
    <r>
      <rPr>
        <sz val="11"/>
        <rFont val="Arial"/>
        <family val="0"/>
        <charset val="1"/>
      </rPr>
      <t xml:space="preserve">+20%</t>
    </r>
    <r>
      <rPr>
        <sz val="11"/>
        <rFont val="WenQuanYi Zen Hei"/>
        <family val="2"/>
      </rPr>
      <t xml:space="preserve">。使用圓規或橡皮筋彈弓時不會出現（抽到直接棄掉）。</t>
    </r>
  </si>
  <si>
    <t xml:space="preserve">planeDash</t>
  </si>
  <si>
    <t xml:space="preserve">紙飛機衝鋒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</si>
  <si>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40
</t>
    </r>
    <r>
      <rPr>
        <sz val="11"/>
        <color rgb="FF0000FF"/>
        <rFont val="WenQuanYi Zen Hei"/>
        <family val="2"/>
      </rPr>
      <t xml:space="preserve">間隔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0.5</t>
    </r>
  </si>
  <si>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秒變成紙飛機：移動速度 </t>
    </r>
    <r>
      <rPr>
        <sz val="11"/>
        <rFont val="Arial"/>
        <family val="0"/>
        <charset val="1"/>
      </rPr>
      <t xml:space="preserve">×2</t>
    </r>
    <r>
      <rPr>
        <sz val="11"/>
        <rFont val="WenQuanYi Zen Hei"/>
        <family val="2"/>
      </rPr>
      <t xml:space="preserve">、無敵，碰到敵人造成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傷害（同一隻每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秒一次）；期間不能射擊與出牌。</t>
    </r>
  </si>
  <si>
    <t xml:space="preserve">精英生命倍率</t>
  </si>
  <si>
    <t xml:space="preserve">精英墨水倍率</t>
  </si>
  <si>
    <t xml:space="preserve">生命</t>
  </si>
  <si>
    <t xml:space="preserve">精英生命</t>
  </si>
  <si>
    <t xml:space="preserve">移動速度</t>
  </si>
  <si>
    <t xml:space="preserve">碰撞傷害</t>
  </si>
  <si>
    <t xml:space="preserve">子彈傷害</t>
  </si>
  <si>
    <t xml:space="preserve">子彈速度</t>
  </si>
  <si>
    <r>
      <rPr>
        <b val="true"/>
        <sz val="11"/>
        <color rgb="FFFFFFFF"/>
        <rFont val="WenQuanYi Zen Hei"/>
        <family val="2"/>
      </rPr>
      <t xml:space="preserve">射擊間隔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</si>
  <si>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擊殺墨水</t>
  </si>
  <si>
    <t xml:space="preserve">精英擊殺墨水</t>
  </si>
  <si>
    <t xml:space="preserve">出場點數</t>
  </si>
  <si>
    <t xml:space="preserve">攻擊方式</t>
  </si>
  <si>
    <t xml:space="preserve">其他特殊數值</t>
  </si>
  <si>
    <t xml:space="preserve">doodle</t>
  </si>
  <si>
    <t xml:space="preserve">塗鴉兵</t>
  </si>
  <si>
    <t xml:space="preserve">地面</t>
  </si>
  <si>
    <r>
      <rPr>
        <sz val="11"/>
        <color rgb="FF0000FF"/>
        <rFont val="Arial"/>
        <family val="0"/>
        <charset val="1"/>
      </rPr>
      <t xml:space="preserve">1.1</t>
    </r>
    <r>
      <rPr>
        <sz val="11"/>
        <color rgb="FF0000FF"/>
        <rFont val="WenQuanYi Zen Hei"/>
        <family val="2"/>
      </rPr>
      <t xml:space="preserve">～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</si>
  <si>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【瞄準射擊】一邊走位一邊畫出紅色瞄準線，約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秒後沿線射出一發紅色子彈。看到紅線就橫向移動閃開。</t>
    </r>
  </si>
  <si>
    <r>
      <rPr>
        <sz val="11"/>
        <rFont val="Arial"/>
        <family val="0"/>
        <charset val="1"/>
      </rPr>
      <t xml:space="preserve">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[5, 9]
strafe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
firstShot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[1, 1.8]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0.5
telegraphLength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7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3.2
lead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</t>
    </r>
  </si>
  <si>
    <t xml:space="preserve">blob</t>
  </si>
  <si>
    <t xml:space="preserve">墨團</t>
  </si>
  <si>
    <r>
      <rPr>
        <sz val="11"/>
        <rFont val="WenQuanYi Zen Hei"/>
        <family val="2"/>
      </rPr>
      <t xml:space="preserve">【跳躍彈環】一跳一跳地逼近你，每跳三次落地時向四周噴出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發環狀子彈。
【分裂】被擊破時分裂成兩隻小墨團，小墨團跑得更快但很脆弱（每隻 </t>
    </r>
    <r>
      <rPr>
        <sz val="11"/>
        <rFont val="Arial"/>
        <family val="0"/>
        <charset val="1"/>
      </rPr>
      <t xml:space="preserve">+0.5 </t>
    </r>
    <r>
      <rPr>
        <sz val="11"/>
        <rFont val="WenQuanYi Zen Hei"/>
        <family val="2"/>
      </rPr>
      <t xml:space="preserve">墨水）。</t>
    </r>
  </si>
  <si>
    <r>
      <rPr>
        <sz val="11"/>
        <rFont val="Arial"/>
        <family val="0"/>
        <charset val="1"/>
      </rPr>
      <t xml:space="preserve">hopWait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[0.6, 0.9]
hopTime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hopDist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2.6
hopHeight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
shootEvery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ringCount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8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split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blobSmall
splitCount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</t>
    </r>
  </si>
  <si>
    <t xml:space="preserve">sprayer</t>
  </si>
  <si>
    <t xml:space="preserve">散彈兵</t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</si>
  <si>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～</t>
    </r>
    <r>
      <rPr>
        <sz val="11"/>
        <color rgb="FF0000FF"/>
        <rFont val="Arial"/>
        <family val="0"/>
        <charset val="1"/>
      </rPr>
      <t xml:space="preserve">2.8</t>
    </r>
  </si>
  <si>
    <r>
      <rPr>
        <sz val="11"/>
        <rFont val="WenQuanYi Zen Hei"/>
        <family val="2"/>
      </rPr>
      <t xml:space="preserve">【扇形散彈】畫出三條紅線標示範圍，接著一次噴出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發扇形子彈。子彈飛不遠，拉開距離或從縫隙穿過就能躲開。</t>
    </r>
  </si>
  <si>
    <r>
      <rPr>
        <sz val="11"/>
        <rFont val="Arial"/>
        <family val="0"/>
        <charset val="1"/>
      </rPr>
      <t xml:space="preserve">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[4, 7]
strafe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firstShot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[1.3, 2.1]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0.65
telegraphLength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
pellets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5
spread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1.5
lead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</t>
    </r>
  </si>
  <si>
    <t xml:space="preserve">stampSoldier</t>
  </si>
  <si>
    <t xml:space="preserve">橡皮印章兵</t>
  </si>
  <si>
    <r>
      <rPr>
        <sz val="11"/>
        <rFont val="WenQuanYi Zen Hei"/>
        <family val="2"/>
      </rPr>
      <t xml:space="preserve">【跳躍蓋章】預判你的位置跳過去，落點先畫出紅圈；落地時圈內受到傷害，並留下和紅圈一樣大的墨印（踩到會減速一半），之後會硬直一下。墨印大約到它再跳兩次時才開始慢慢變淡。
【連續蓋章（精英）】精英會連跳兩次、硬直更短，每次落地都向四周彈出一圈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發子彈。</t>
    </r>
  </si>
  <si>
    <r>
      <rPr>
        <sz val="11"/>
        <rFont val="Arial"/>
        <family val="0"/>
        <charset val="1"/>
      </rPr>
      <t xml:space="preserve">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[4, 8]
strafe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
stampEvery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[2.6, 3.6]
firstStamp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[1.6, 2.4]
crouch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
jumpTime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0.85
jumpRange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6.5
jumpHeight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2.4
lead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0.35
stampRadius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1.8
stampDamage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
landStun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0.75
eliteLandStun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0.35
eliteHops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eliteRing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8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2.2
puddleTime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12
puddleFade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puddleSlow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0.5
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</t>
    </r>
  </si>
  <si>
    <t xml:space="preserve">inkCloud</t>
  </si>
  <si>
    <t xml:space="preserve">墨雲</t>
  </si>
  <si>
    <t xml:space="preserve">飛行</t>
  </si>
  <si>
    <t xml:space="preserve">【墨水雨】停下來鼓起身體，在你腳下與附近畫出紅圈，紅圈縮完後墨滴落下爆開並留下減速墨漬。第一個紅圈會預判你的走位。擊倒墨雲後尚未落下的墨滴會消失。</t>
  </si>
  <si>
    <r>
      <rPr>
        <sz val="11"/>
        <rFont val="Arial"/>
        <family val="0"/>
        <charset val="1"/>
      </rPr>
      <t xml:space="preserve">flyHeight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2.5
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[5, 8]
drift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0.7
castEvery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[2.8, 3.6]
firstCast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[1.6, 2.4]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0.55
drops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eliteDrops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
dropDelay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0.95
dropStagger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0.16
dropSpread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3.6
dropLead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ringRadius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1.5
hitRadius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1.4
dropDamage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
puddleRadius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1.3
puddleTime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5
puddleSlow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0.55</t>
    </r>
  </si>
  <si>
    <t xml:space="preserve">bird</t>
  </si>
  <si>
    <t xml:space="preserve">摺紙鳥</t>
  </si>
  <si>
    <t xml:space="preserve">【俯衝】在空中盤旋，接著畫出紅線朝你俯衝穿過。飛行中不會觸發地雷。</t>
  </si>
  <si>
    <r>
      <rPr>
        <sz val="11"/>
        <rFont val="Arial"/>
        <family val="0"/>
        <charset val="1"/>
      </rPr>
      <t xml:space="preserve">flyHeight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2.2
orbit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
wobble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2.4
wobbleFreq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2.6
swoopEvery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[2.2, 3.4]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telegraphLength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8
swoopSpeed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12
swoopTime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</t>
    </r>
  </si>
  <si>
    <t xml:space="preserve">compass</t>
  </si>
  <si>
    <t xml:space="preserve">圓規手</t>
  </si>
  <si>
    <r>
      <rPr>
        <sz val="11"/>
        <color rgb="FF0000FF"/>
        <rFont val="Arial"/>
        <family val="0"/>
        <charset val="1"/>
      </rPr>
      <t xml:space="preserve">2.2</t>
    </r>
    <r>
      <rPr>
        <sz val="11"/>
        <color rgb="FF0000FF"/>
        <rFont val="WenQuanYi Zen Hei"/>
        <family val="2"/>
      </rPr>
      <t xml:space="preserve">～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</si>
  <si>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rFont val="WenQuanYi Zen Hei"/>
        <family val="2"/>
      </rPr>
      <t xml:space="preserve">【圓環彈幕】停在遠處，先在自己周圍畫出紅圈，畫完後一次射出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發向外擴散的子彈。</t>
    </r>
  </si>
  <si>
    <r>
      <rPr>
        <sz val="11"/>
        <rFont val="Arial"/>
        <family val="0"/>
        <charset val="1"/>
      </rPr>
      <t xml:space="preserve">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[9, 13]
strafe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
firstShot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[1.4, 2.2]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0.65
ringRadius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2.2
ringCount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12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4</t>
    </r>
  </si>
  <si>
    <t xml:space="preserve">eraserMonster</t>
  </si>
  <si>
    <t xml:space="preserve">橡皮怪</t>
  </si>
  <si>
    <t xml:space="preserve">【衝撞】畫出紅色直線後高速衝撞。撞到掩體會暈眩一小段時間，是反擊的好機會。
【擦除牆壁】衝撞時會直接擦掉你畫的鉛筆牆，別把所有防守都押在牆上。</t>
  </si>
  <si>
    <r>
      <rPr>
        <sz val="11"/>
        <rFont val="Arial"/>
        <family val="0"/>
        <charset val="1"/>
      </rPr>
      <t xml:space="preserve">chargeRange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9
chargeSpeed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13
chargeTime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0.9
chargeCd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[2.2, 3.2]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
telegraphLength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9
stunTime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0.9
chargeDamage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</t>
    </r>
  </si>
  <si>
    <t xml:space="preserve">blobSmall</t>
  </si>
  <si>
    <t xml:space="preserve">分裂體</t>
  </si>
  <si>
    <r>
      <rPr>
        <sz val="11"/>
        <rFont val="Arial"/>
        <family val="0"/>
        <charset val="1"/>
      </rPr>
      <t xml:space="preserve">hopWait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[0.35, 0.6]
hopTime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0.35
hopDist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hopHeight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
shootEvery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</t>
    </r>
  </si>
  <si>
    <t xml:space="preserve">inkBottle</t>
  </si>
  <si>
    <t xml:space="preserve">巨型墨瓶</t>
  </si>
  <si>
    <t xml:space="preserve">頭目</t>
  </si>
  <si>
    <t xml:space="preserve">—（頭目無精英）</t>
  </si>
  <si>
    <t xml:space="preserve">—</t>
  </si>
  <si>
    <r>
      <rPr>
        <sz val="11"/>
        <rFont val="WenQuanYi Zen Hei"/>
        <family val="2"/>
      </rPr>
      <t xml:space="preserve">【翻滾衝撞（第二型態）】血量剩一半時鎖血進化。進化後會倒下沿紅線翻滾衝撞兩次，沿路灑下會倒數消失的減速墨漬，滾完會暈一下。
【螺旋彈幕】原地旋轉，從瓶身噴出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條螺旋狀的子彈流，持續約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秒。
【扇形彈幕】朝你連續射出三波扇形子彈（</t>
    </r>
    <r>
      <rPr>
        <sz val="11"/>
        <rFont val="Arial"/>
        <family val="0"/>
        <charset val="1"/>
      </rPr>
      <t xml:space="preserve">7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9 </t>
    </r>
    <r>
      <rPr>
        <sz val="11"/>
        <rFont val="WenQuanYi Zen Hei"/>
        <family val="2"/>
      </rPr>
      <t xml:space="preserve">發），往兩側繞開最安全。
【環狀彈幕】連續射出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圈、每圈 </t>
    </r>
    <r>
      <rPr>
        <sz val="11"/>
        <rFont val="Arial"/>
        <family val="0"/>
        <charset val="1"/>
      </rPr>
      <t xml:space="preserve">22 </t>
    </r>
    <r>
      <rPr>
        <sz val="11"/>
        <rFont val="WenQuanYi Zen Hei"/>
        <family val="2"/>
      </rPr>
      <t xml:space="preserve">發的環狀子彈，每圈之間有錯開的縫隙。
【潑灑墨漬】把墨水拋到你附近，落地形成墨漬，踩在上面會大幅減速。
【召喚墨團】血量降低後會在兩側召喚墨團助陣。
【弱點：背後裂縫】瓶身背後的紅色裂縫受到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倍傷害，繞到它背後攻擊吧。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</si>
  <si>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weakAngle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spinSpeed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5
puddleRadius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2.2
puddleTime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9
puddleSlow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patternGap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[1.3, 1.9]
phaseRush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0.25
spiralRate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0.085
spiralTime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2.6
fanRate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0.48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0.5, 'time': 2.4}
roll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{'tele': 0.85, 'tele2': 0.5, 'speed': 11, 'time': 1.5, 'drop': 0.22, 'dropR': 1.2, 'dropTime': 4, 'count': 2, 'dizzy': 1.1, 'damage': 1}</t>
    </r>
  </si>
  <si>
    <t xml:space="preserve">scissors</t>
  </si>
  <si>
    <t xml:space="preserve">剪刀魔</t>
  </si>
  <si>
    <r>
      <rPr>
        <sz val="11"/>
        <rFont val="WenQuanYi Zen Hei"/>
        <family val="2"/>
      </rPr>
      <t xml:space="preserve">【繞圈剪擊（第二型態）】血量剩一半時鎖血進化。進化後會繞著你高速轉圈，每隔一下朝你射出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發子彈；衝刺也會連衝三次。
【衝刺剪擊】預判你的位置畫出紅線後高速衝刺，沿路留下一排子彈；子彈停留一下後會朝衝刺路線的左右兩側射出。撞牆會卡住，此時受到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倍傷害。
【十字剪】朝四個方向各射出三發子彈，每一波都會稍微旋轉角度。
【旋轉】一邊旋轉一邊朝你靠近，灑出兩條螺旋子彈流。</t>
    </r>
  </si>
  <si>
    <r>
      <rPr>
        <sz val="11"/>
        <rFont val="Arial"/>
        <family val="0"/>
        <charset val="1"/>
      </rPr>
      <t xml:space="preserve">summonMult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2.6
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dashSpeed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17
dashTime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1.1
stuckTime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1.5
gap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[0.8, 1.35]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0.5, 'time': 2.2}
orbit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{'tele': 0.6, 'r': 5.5, 'turn': 1.5, 'speed': 11, 'time': 3, 'every': 0.5, 'count': 3, 'spread': 0.35}
trail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{'every': 0.09, 'linger': 1.3, 'stagger': 0.02, 'speed': 6.5, 'life': 3}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4</t>
    </r>
  </si>
  <si>
    <t xml:space="preserve">book</t>
  </si>
  <si>
    <t xml:space="preserve">墨跡之書</t>
  </si>
  <si>
    <r>
      <rPr>
        <sz val="11"/>
        <rFont val="WenQuanYi Zen Hei"/>
        <family val="2"/>
      </rPr>
      <t xml:space="preserve">【飛撲重壓（第二型態）】血量剩一半時鎖血進化。進化後會飛起來撲向紅圈標記的位置連壓兩次，落地時圈內受傷並震出一圈子彈，壓完會攤開休息。
【彈幕牆】射出一整排子彈牆，只留下一個缺口，找到缺口鑽過去。
【墨水雨】在地上標記紅圈，稍後墨水落下並向四周炸出子彈，快離開紅圈。
【重擊】把書重重闔上，震出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發一圈的密集彈幕，連續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次。
【召喚小兵】寫出兩隻塗鴉兵和一隻摺紙鳥。
【攤開休息】每次攻擊後攤開休息，這段時間受到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倍傷害，把握時機全力輸出。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</si>
  <si>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restTime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1.8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0.5, 'time': 2.4}
glide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{'tele': 0.9, 'time': 0.75, 'height': 3, 'r': 3, 'ring': 12, 'speed': 5, 'hops': 2}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</t>
    </r>
  </si>
  <si>
    <t xml:space="preserve">exam</t>
  </si>
  <si>
    <t xml:space="preserve">考卷魔王</t>
  </si>
  <si>
    <r>
      <rPr>
        <sz val="11"/>
        <rFont val="WenQuanYi Zen Hei"/>
        <family val="2"/>
      </rPr>
      <t xml:space="preserve">【選擇題】在你腳下和周圍畫出紅圈，一段時間後依序引爆並向外炸出子彈。
【安靜作答】這段時間只要你開火，它就會喊「作弊！」並原地轉一圈，朝四面八方射出一圈子彈。
【紅筆批改】畫出好幾條紅線，接著沿著紅線連續射出子彈。單純攻擊，不算題目。
【答對了】每道題目結束時如果你沒被打中，它會攤開休息，這時受到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倍傷害；被打中就沒有休息。紅筆批改與丟紙團不算題目。
【申論題（第二型態）】進化後才會出的題目：考卷一邊追著你一邊寫字，留下的筆跡過一下會變成粗墨線，碰到就受傷。
【填空題】把整個場地切成 </t>
    </r>
    <r>
      <rPr>
        <sz val="11"/>
        <rFont val="Arial"/>
        <family val="0"/>
        <charset val="1"/>
      </rPr>
      <t xml:space="preserve">4×3 </t>
    </r>
    <r>
      <rPr>
        <sz val="11"/>
        <rFont val="WenQuanYi Zen Hei"/>
        <family val="2"/>
      </rPr>
      <t xml:space="preserve">格，只有畫 ○ 的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格是正確答案（進化後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格）；其他格子會一格一格被墨水填滿，站在裡面就會受傷。
【是非題】用紅線把場地切成兩半，一半畫上 ✗、一半畫上 ○；時間到時 ✗ 那半邊整片被劃掉，站在那邊受到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點傷害。進化後有一半機率在中途換邊（陷阱題）。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</si>
  <si>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keep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8
questionGap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[1.1, 1.6]
askTime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1.1
restTime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2.3
wrongTime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0.7
zone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{'count': 4, 'count2': 6, 'r': 1.9, 'spread': 5.5, 'delay': 1.1, 'stagger': 0.18, 'ring': 8, 'speed': 4.5, 'life': 2.4}
quiet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{'time': 2.8, 'cool': 0.5, 'spinTime': 0.7, 'ring': 12, 'ring2': 18, 'speed': 1.1}
grade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{'lines': 4, 'lines2': 5, 'spread': 2.4, 'tele': 0.8, 'time': 1.2, 'every': 0.16}
toss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{'volleys': 3, 'volleys2': 4, 'count': 5, 'spread': 0.9, 'every': 0.5, 'speed': 6}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0.5, 'time': 2.4}
tf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{'ask': 1.9, 'ask2': 2.3, 'swapAt': 0.55, 'swapChance': 0.5, 'live': 0.55, 'hatch': 6, 'damage': 2}
blank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{'cols': 4, 'rows': 3, 'safe': 3, 'safe2': 2, 'ask': 2.4, 'ask2': 2.1, 'every': 0.22, 'fill': 0.7}
plain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['grade', 'toss']
essay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{'time': 3.4, 'speed': 4.4, 'drop': 0.2, 'arm': 0.5, 'live': 2.6, 'width': 0.45}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5</t>
    </r>
  </si>
  <si>
    <t xml:space="preserve">bookFinal</t>
  </si>
  <si>
    <t xml:space="preserve">巨筆暴君</t>
  </si>
  <si>
    <r>
      <rPr>
        <sz val="11"/>
        <rFont val="WenQuanYi Zen Hei"/>
        <family val="2"/>
      </rPr>
      <t xml:space="preserve">【畫線】在場上拉出幾條橫豎紅線（一定有一條穿過你），紅線畫完後變成粗墨線，站在上面就會受傷。越後期線越多。
【仿寫】模仿你的技能：在你身邊標記紅圈後引爆（爆墨，進化後才會噴子彈），或射出少量扇形子彈（散射）。
【喘息】每三次攻擊才會筆尖插地喘息一次，這時受到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倍傷害；其他攻擊後只會短暫停頓。也會使用有缺口的彈幕牆。
【書寫衝刺（第二型態）】血量剩三分之一時鎖血進化。進化後會沿紅線高速衝刺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次，經過的路線留下約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秒的粗墨線，碰到就受傷。
【墨水管護盾】血量剩三分之二、以及進化完成時，會把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根墨水管丟到場上（紅線連到本體）。墨水管全部打掉之前，它只受到 </t>
    </r>
    <r>
      <rPr>
        <sz val="11"/>
        <rFont val="Arial"/>
        <family val="0"/>
        <charset val="1"/>
      </rPr>
      <t xml:space="preserve">50% </t>
    </r>
    <r>
      <rPr>
        <sz val="11"/>
        <rFont val="WenQuanYi Zen Hei"/>
        <family val="2"/>
      </rPr>
      <t xml:space="preserve">傷害，而且照常攻擊。
【筆桿橫掃】倒下筆桿掃過半個場地，起點和終點都會先畫出紅線。貼近筆尖（掃不到的內圈）或衝刺穿過都能躲開。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</si>
  <si>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restTime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1.6
restEvery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pauseTime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0.7
lines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{'count': [2, 3, 4], 'warn': 1.1, 'live': 0.5, 'fade': 0.35, 'width': 0.55, 'stagger': 0.25, 'spread': 5}
sweep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{'arc': 2.6, 'inner': 3.4, 'outer': 17, 'width': 0.5, 'warn': 1, 'dur': 1.9, 'fade': 0.3}
seal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{'marks': 3, 'radius': 7.5, 'guard': 0.5, 'flight': 0.8, 'arc': 4}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0.34, 'time': 2.6}
scribble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{'count': 3, 'tele': 0.7, 'tele2': 0.45, 'speed': 15, 'time': 0.85, 'live': 2.2}
mimicScatter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{'volleys': 2, 'count': 5, 'spread': 0.8, 'every': 0.5, 'speed': 8}
mimicBomb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{'count': [3, 4, 5], 'r': 1.8, 'delay': 1, 'stagger': 0.2, 'ring': 6, 'speed': 4.5, 'life': 2.2}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</t>
    </r>
  </si>
  <si>
    <t xml:space="preserve">alarm</t>
  </si>
  <si>
    <t xml:space="preserve">大鬧鐘</t>
  </si>
  <si>
    <r>
      <rPr>
        <sz val="11"/>
        <rFont val="WenQuanYi Zen Hei"/>
        <family val="2"/>
      </rPr>
      <t xml:space="preserve">【跳躍砸地】先在你的位置畫出紅圈，接著大鬧鐘跳過來砸下，落地時圈內受傷並發出一小圈衝擊波。連跳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次（第二型態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次）後跳回原位。
【秒針掃射】先畫出紅色預警線，接著細黑雷射繞著它轉一圈多（約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秒）。跑不贏它，用衝刺穿過去。
【時針與分針】兩條粗光束以不同速度旋轉、交錯成十字。光束中段有一圈缺口，站在缺口那一圈就不會被掃到。
【整點報時】頭上顯示一個時間（例如 </t>
    </r>
    <r>
      <rPr>
        <sz val="11"/>
        <rFont val="Arial"/>
        <family val="0"/>
        <charset val="1"/>
      </rPr>
      <t xml:space="preserve">3:00</t>
    </r>
    <r>
      <rPr>
        <sz val="11"/>
        <rFont val="WenQuanYi Zen Hei"/>
        <family val="2"/>
      </rPr>
      <t xml:space="preserve">），</t>
    </r>
    <r>
      <rPr>
        <sz val="11"/>
        <rFont val="Arial"/>
        <family val="0"/>
        <charset val="1"/>
      </rPr>
      <t xml:space="preserve">1.2 </t>
    </r>
    <r>
      <rPr>
        <sz val="11"/>
        <rFont val="WenQuanYi Zen Hei"/>
        <family val="2"/>
      </rPr>
      <t xml:space="preserve">秒後時針與分針指著的方向各射出一道光束，先看預警線再躲。
【鈴鐺響】鈴鐺晃動時，從它身上一圈圈往外淡出的紅環是預警；接著兩個鈴鐺一起敲響，發出一圈往外擴散的衝擊波，用衝刺跨過去就不會受傷。
【鈴聲爆發】鈴聲條滿了還沒按掉就會爆發：先一圈大衝擊波，等波過去約 </t>
    </r>
    <r>
      <rPr>
        <sz val="11"/>
        <rFont val="Arial"/>
        <family val="0"/>
        <charset val="1"/>
      </rPr>
      <t xml:space="preserve">1.6 </t>
    </r>
    <r>
      <rPr>
        <sz val="11"/>
        <rFont val="WenQuanYi Zen Hei"/>
        <family val="2"/>
      </rPr>
      <t xml:space="preserve">秒後，光束才變成三倍旋轉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秒。每次命中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點傷害，一次爆發最多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點。結束後鈴聲條降到 </t>
    </r>
    <r>
      <rPr>
        <sz val="11"/>
        <rFont val="Arial"/>
        <family val="0"/>
        <charset val="1"/>
      </rPr>
      <t xml:space="preserve">40</t>
    </r>
    <r>
      <rPr>
        <sz val="11"/>
        <rFont val="WenQuanYi Zen Hei"/>
        <family val="2"/>
      </rPr>
      <t xml:space="preserve">，鬧鐘圈重新亮起。
【按鬧鐘】鈴聲條到 </t>
    </r>
    <r>
      <rPr>
        <sz val="11"/>
        <rFont val="Arial"/>
        <family val="0"/>
        <charset val="1"/>
      </rPr>
      <t xml:space="preserve">60 </t>
    </r>
    <r>
      <rPr>
        <sz val="11"/>
        <rFont val="WenQuanYi Zen Hei"/>
        <family val="2"/>
      </rPr>
      <t xml:space="preserve">時，角落會亮起紅色閃動的鬧鐘圈。站在圈內不會受到任何傷害（圈消失後 </t>
    </r>
    <r>
      <rPr>
        <sz val="11"/>
        <rFont val="Arial"/>
        <family val="0"/>
        <charset val="1"/>
      </rPr>
      <t xml:space="preserve">0.6 </t>
    </r>
    <r>
      <rPr>
        <sz val="11"/>
        <rFont val="WenQuanYi Zen Hei"/>
        <family val="2"/>
      </rPr>
      <t xml:space="preserve">秒內也是）；待約 </t>
    </r>
    <r>
      <rPr>
        <sz val="11"/>
        <rFont val="Arial"/>
        <family val="0"/>
        <charset val="1"/>
      </rPr>
      <t xml:space="preserve">0.8 </t>
    </r>
    <r>
      <rPr>
        <sz val="11"/>
        <rFont val="WenQuanYi Zen Hei"/>
        <family val="2"/>
      </rPr>
      <t xml:space="preserve">秒就算按下（不用按鍵）：鈴聲條歸零、貪睡 </t>
    </r>
    <r>
      <rPr>
        <sz val="11"/>
        <rFont val="Arial"/>
        <family val="0"/>
        <charset val="1"/>
      </rPr>
      <t xml:space="preserve">3.5 </t>
    </r>
    <r>
      <rPr>
        <sz val="11"/>
        <rFont val="WenQuanYi Zen Hei"/>
        <family val="2"/>
      </rPr>
      <t xml:space="preserve">秒（受到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倍傷害），並回復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墨水。離開圈子進度會慢慢倒退。
【急躁鬧鐘（第二型態）】血量剩一半時進化，一進化就立刻鈴聲爆發！之後鈴聲條漲更快，會同時亮起兩個相鄰（不會在對角）的鬧鐘圈，各站 </t>
    </r>
    <r>
      <rPr>
        <sz val="11"/>
        <rFont val="Arial"/>
        <family val="0"/>
        <charset val="1"/>
      </rPr>
      <t xml:space="preserve">0.6 </t>
    </r>
    <r>
      <rPr>
        <sz val="11"/>
        <rFont val="WenQuanYi Zen Hei"/>
        <family val="2"/>
      </rPr>
      <t xml:space="preserve">秒、兩個都按掉才會貪睡，貪睡變成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秒。光束變成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條、轉更快，轉到一半會突然反向（反向前鈴鐺會先響一聲）。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</si>
  <si>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0.5, 'time': 2.4}
gap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[0.3, 0.6]
first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
hop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{'tele': 0.9, 'homeTele': 0.6, 'air': 0.6, 'height': 3.5, 'fall': 14, 'r': 2.4, 'count': 2, 'count2': 3, 'margin': 3, 'wave': {'speed': 7, 'max': 6, 'width': 0.4}}
bar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{'rate': 5, 'rate2': 7, 'max': 100, 'show': 60, 'after': 40, 'tick': [0.62, 0.14], 'pitch': [1, 1.7]}
pad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{'r': 1.4, 'hold': 0.8, 'hold2': 0.6, 'decay': 0.5, 'inset': 2.4, 'minDist': 5, 'avoid': 0.45, 'vanish': 0.3, 'safe': 0.15, 'linger': 0.6}
snooze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{'time': 3.5, 'time2': 4, 'ink': 1}
second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{'warn': 1, 'period': 5, 'turns': 1.2, 'width': 0.14, 'len': 24, 'inner': 1.9}
hands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{'warn': 1.1, 'dur': 5.5, 'speeds': [0.44, 0.92, -0.72], 'width': 0.42, 'gap': [5.5, 8.5], 'gapW': 3.3, 'len': 24, 'inner': 1.9}
chime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{'show': 1.2, 'live': 0.5, 'width': 0.45, 'len': 24, 'inner': 1.9, 'hours': [2, 10]}
bells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{'tele': 1.1, 'rest': 0.5, 'speed': 6.5, 'max': 18, 'width': 0.45, 'warnCycle': 0.55, 'warnRings': 3, 'warnReach': 6, 'warnWidth': 0.35, 'warnAlpha': 0.7}
burst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{'warn': 0.9, 'beamDelay': 1.6, 'speed': 9, 'max': 22, 'width': 0.8, 'time': 4, 'mult': 3, 'cap': 2, 'spin': 0.45, 'width2': 0.4, 'len': 24, 'inner': 1.9}
p2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{'beams': 3, 'speed': 1.4, 'flipWarn': 0.45}
hitCool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</t>
    </r>
  </si>
  <si>
    <t xml:space="preserve">bookmark</t>
  </si>
  <si>
    <t xml:space="preserve">墨水管</t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</si>
  <si>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</t>
    </r>
  </si>
  <si>
    <t xml:space="preserve">特色</t>
  </si>
  <si>
    <t xml:space="preserve">每發傷害</t>
  </si>
  <si>
    <t xml:space="preserve">每次擊發子彈數</t>
  </si>
  <si>
    <t xml:space="preserve">彈匣</t>
  </si>
  <si>
    <r>
      <rPr>
        <b val="true"/>
        <sz val="11"/>
        <color rgb="FFFFFFFF"/>
        <rFont val="WenQuanYi Zen Hei"/>
        <family val="2"/>
      </rPr>
      <t xml:space="preserve">換彈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</si>
  <si>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子彈存活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</si>
  <si>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擴散</t>
  </si>
  <si>
    <r>
      <rPr>
        <b val="true"/>
        <sz val="11"/>
        <color rgb="FFFFFFFF"/>
        <rFont val="WenQuanYi Zen Hei"/>
        <family val="2"/>
      </rPr>
      <t xml:space="preserve">理論 </t>
    </r>
    <r>
      <rPr>
        <b val="true"/>
        <sz val="11"/>
        <color rgb="FFFFFFFF"/>
        <rFont val="Arial"/>
        <family val="0"/>
        <charset val="1"/>
      </rPr>
      <t xml:space="preserve">DPS</t>
    </r>
  </si>
  <si>
    <t xml:space="preserve">特殊效果</t>
  </si>
  <si>
    <t xml:space="preserve">pen</t>
  </si>
  <si>
    <t xml:space="preserve">鋼筆</t>
  </si>
  <si>
    <t xml:space="preserve">均衡單發</t>
  </si>
  <si>
    <t xml:space="preserve">pencil</t>
  </si>
  <si>
    <t xml:space="preserve">自動鉛筆</t>
  </si>
  <si>
    <t xml:space="preserve">高射速・大彈匣</t>
  </si>
  <si>
    <t xml:space="preserve">brush</t>
  </si>
  <si>
    <t xml:space="preserve">毛筆</t>
  </si>
  <si>
    <t xml:space="preserve">橫掃墨痕・可擦敵彈</t>
  </si>
  <si>
    <r>
      <rPr>
        <sz val="11"/>
        <rFont val="WenQuanYi Zen Hei"/>
        <family val="2"/>
      </rPr>
      <t xml:space="preserve">扇形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道，展開角 </t>
    </r>
    <r>
      <rPr>
        <sz val="11"/>
        <rFont val="Arial"/>
        <family val="0"/>
        <charset val="1"/>
      </rPr>
      <t xml:space="preserve">0.8
</t>
    </r>
    <r>
      <rPr>
        <sz val="11"/>
        <rFont val="WenQuanYi Zen Hei"/>
        <family val="2"/>
      </rPr>
      <t xml:space="preserve">落空返還：連續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次揮筆都沒有造成任何傷害時返還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發彈藥；剛好打空時先返還、不用換彈
距離分段傷害：揮筆位置到最遠射程平均分三段，近→遠依序 </t>
    </r>
    <r>
      <rPr>
        <sz val="11"/>
        <rFont val="Arial"/>
        <family val="0"/>
        <charset val="1"/>
      </rPr>
      <t xml:space="preserve">30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（傷害欄填最遠的基礎值）</t>
    </r>
  </si>
  <si>
    <t xml:space="preserve">stapler</t>
  </si>
  <si>
    <t xml:space="preserve">釘書機</t>
  </si>
  <si>
    <t xml:space="preserve">三連點射・減速</t>
  </si>
  <si>
    <r>
      <rPr>
        <sz val="11"/>
        <rFont val="WenQuanYi Zen Hei"/>
        <family val="2"/>
      </rPr>
      <t xml:space="preserve">三連發，每發間隔 </t>
    </r>
    <r>
      <rPr>
        <sz val="11"/>
        <rFont val="Arial"/>
        <family val="0"/>
        <charset val="1"/>
      </rPr>
      <t xml:space="preserve">0.07 </t>
    </r>
    <r>
      <rPr>
        <sz val="11"/>
        <rFont val="WenQuanYi Zen Hei"/>
        <family val="2"/>
      </rPr>
      <t xml:space="preserve">秒
命中減速 </t>
    </r>
    <r>
      <rPr>
        <sz val="11"/>
        <rFont val="Arial"/>
        <family val="0"/>
        <charset val="1"/>
      </rPr>
      <t xml:space="preserve">0.9 </t>
    </r>
    <r>
      <rPr>
        <sz val="11"/>
        <rFont val="WenQuanYi Zen Hei"/>
        <family val="2"/>
      </rPr>
      <t xml:space="preserve">秒（速度 </t>
    </r>
    <r>
      <rPr>
        <sz val="11"/>
        <rFont val="Arial"/>
        <family val="0"/>
        <charset val="1"/>
      </rPr>
      <t xml:space="preserve">×0.45</t>
    </r>
    <r>
      <rPr>
        <sz val="11"/>
        <rFont val="WenQuanYi Zen Hei"/>
        <family val="2"/>
      </rPr>
      <t xml:space="preserve">）</t>
    </r>
  </si>
  <si>
    <t xml:space="preserve">highlighter</t>
  </si>
  <si>
    <t xml:space="preserve">螢光筆</t>
  </si>
  <si>
    <t xml:space="preserve">持續光束・會過熱</t>
  </si>
  <si>
    <r>
      <rPr>
        <sz val="11"/>
        <rFont val="WenQuanYi Zen Hei"/>
        <family val="2"/>
      </rPr>
      <t xml:space="preserve">持續光束：射程 </t>
    </r>
    <r>
      <rPr>
        <sz val="11"/>
        <rFont val="Arial"/>
        <family val="0"/>
        <charset val="1"/>
      </rPr>
      <t xml:space="preserve">11</t>
    </r>
    <r>
      <rPr>
        <sz val="11"/>
        <rFont val="WenQuanYi Zen Hei"/>
        <family val="2"/>
      </rPr>
      <t xml:space="preserve">、寬度 </t>
    </r>
    <r>
      <rPr>
        <sz val="11"/>
        <rFont val="Arial"/>
        <family val="0"/>
        <charset val="1"/>
      </rPr>
      <t xml:space="preserve">0.6</t>
    </r>
    <r>
      <rPr>
        <sz val="11"/>
        <rFont val="WenQuanYi Zen Hei"/>
        <family val="2"/>
      </rPr>
      <t xml:space="preserve">，穿透線上所有敵人，碰牆停止；每 </t>
    </r>
    <r>
      <rPr>
        <sz val="11"/>
        <rFont val="Arial"/>
        <family val="0"/>
        <charset val="1"/>
      </rPr>
      <t xml:space="preserve">0.1 </t>
    </r>
    <r>
      <rPr>
        <sz val="11"/>
        <rFont val="WenQuanYi Zen Hei"/>
        <family val="2"/>
      </rPr>
      <t xml:space="preserve">秒結算一次傷害
熱度：彈匣＝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次結算，放開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秒後每秒回復 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；過熱冷卻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秒，無法手動換彈</t>
    </r>
  </si>
  <si>
    <t xml:space="preserve">圓規</t>
  </si>
  <si>
    <t xml:space="preserve">回力鏢・冷卻制</t>
  </si>
  <si>
    <r>
      <rPr>
        <sz val="11"/>
        <rFont val="WenQuanYi Zen Hei"/>
        <family val="2"/>
      </rPr>
      <t xml:space="preserve">回力鏢：直線飛出、以同樣速度直線飛回手上，去回都穿透（可打兩次），穿過紙箱與墨水桶，撞牆彈回
落空縮短冷卻：這一丟沒打中任何敵人時，剩餘冷卻變為 </t>
    </r>
    <r>
      <rPr>
        <sz val="11"/>
        <rFont val="Arial"/>
        <family val="0"/>
        <charset val="1"/>
      </rPr>
      <t xml:space="preserve">70%
</t>
    </r>
    <r>
      <rPr>
        <sz val="11"/>
        <rFont val="WenQuanYi Zen Hei"/>
        <family val="2"/>
      </rPr>
      <t xml:space="preserve">冷卻制：沒有彈匣與換彈，每次丟出後冷卻 </t>
    </r>
    <r>
      <rPr>
        <sz val="11"/>
        <rFont val="Arial"/>
        <family val="0"/>
        <charset val="1"/>
      </rPr>
      <t xml:space="preserve">1.8 </t>
    </r>
    <r>
      <rPr>
        <sz val="11"/>
        <rFont val="WenQuanYi Zen Hei"/>
        <family val="2"/>
      </rPr>
      <t xml:space="preserve">秒（射擊間隔欄填的是冷卻時間）</t>
    </r>
  </si>
  <si>
    <t xml:space="preserve">crayon</t>
  </si>
  <si>
    <t xml:space="preserve">彩色筆</t>
  </si>
  <si>
    <t xml:space="preserve">隨機三色彈</t>
  </si>
  <si>
    <r>
      <rPr>
        <sz val="11"/>
        <rFont val="WenQuanYi Zen Hei"/>
        <family val="2"/>
      </rPr>
      <t xml:space="preserve">每發獨立隨機：紅色 </t>
    </r>
    <r>
      <rPr>
        <sz val="11"/>
        <rFont val="Arial"/>
        <family val="0"/>
        <charset val="1"/>
      </rPr>
      <t xml:space="preserve">20%</t>
    </r>
    <r>
      <rPr>
        <sz val="11"/>
        <rFont val="WenQuanYi Zen Hei"/>
        <family val="2"/>
      </rPr>
      <t xml:space="preserve">・傷害 </t>
    </r>
    <r>
      <rPr>
        <sz val="11"/>
        <rFont val="Arial"/>
        <family val="0"/>
        <charset val="1"/>
      </rPr>
      <t xml:space="preserve">28</t>
    </r>
    <r>
      <rPr>
        <sz val="11"/>
        <rFont val="WenQuanYi Zen Hei"/>
        <family val="2"/>
      </rPr>
      <t xml:space="preserve">、藍色 </t>
    </r>
    <r>
      <rPr>
        <sz val="11"/>
        <rFont val="Arial"/>
        <family val="0"/>
        <charset val="1"/>
      </rPr>
      <t xml:space="preserve">40%</t>
    </r>
    <r>
      <rPr>
        <sz val="11"/>
        <rFont val="WenQuanYi Zen Hei"/>
        <family val="2"/>
      </rPr>
      <t xml:space="preserve">・傷害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、綠色 </t>
    </r>
    <r>
      <rPr>
        <sz val="11"/>
        <rFont val="Arial"/>
        <family val="0"/>
        <charset val="1"/>
      </rPr>
      <t xml:space="preserve">40%</t>
    </r>
    <r>
      <rPr>
        <sz val="11"/>
        <rFont val="WenQuanYi Zen Hei"/>
        <family val="2"/>
      </rPr>
      <t xml:space="preserve">・傷害 </t>
    </r>
    <r>
      <rPr>
        <sz val="11"/>
        <rFont val="Arial"/>
        <family val="0"/>
        <charset val="1"/>
      </rPr>
      <t xml:space="preserve">5</t>
    </r>
  </si>
  <si>
    <t xml:space="preserve">slingshot</t>
  </si>
  <si>
    <t xml:space="preserve">橡皮筋彈弓</t>
  </si>
  <si>
    <t xml:space="preserve">蓄力穿透・無彈匣</t>
  </si>
  <si>
    <t xml:space="preserve">id</t>
  </si>
  <si>
    <t xml:space="preserve">主持人</t>
  </si>
  <si>
    <t xml:space="preserve">玩法說明（主持人台詞）</t>
  </si>
  <si>
    <r>
      <rPr>
        <b val="true"/>
        <sz val="11"/>
        <color rgb="FFFFFFFF"/>
        <rFont val="WenQuanYi Zen Hei"/>
        <family val="2"/>
      </rPr>
      <t xml:space="preserve">參數（陣列為第</t>
    </r>
    <r>
      <rPr>
        <b val="true"/>
        <sz val="11"/>
        <color rgb="FFFFFFFF"/>
        <rFont val="Arial"/>
        <family val="0"/>
        <charset val="1"/>
      </rPr>
      <t xml:space="preserve">1/2/3</t>
    </r>
    <r>
      <rPr>
        <b val="true"/>
        <sz val="11"/>
        <color rgb="FFFFFFFF"/>
        <rFont val="WenQuanYi Zen Hei"/>
        <family val="2"/>
      </rPr>
      <t xml:space="preserve">幕）</t>
    </r>
  </si>
  <si>
    <t xml:space="preserve">bells</t>
  </si>
  <si>
    <t xml:space="preserve">記憶音鈴</t>
  </si>
  <si>
    <t xml:space="preserve">音鈴指揮</t>
  </si>
  <si>
    <r>
      <rPr>
        <sz val="11"/>
        <rFont val="WenQuanYi Zen Hei"/>
        <family val="2"/>
      </rPr>
      <t xml:space="preserve">我會在四個音鈴上連續敲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下。看清楚順序後，走到音鈴旁按 </t>
    </r>
    <r>
      <rPr>
        <sz val="11"/>
        <rFont val="Arial"/>
        <family val="0"/>
        <charset val="1"/>
      </rPr>
      <t xml:space="preserve">F </t>
    </r>
    <r>
      <rPr>
        <sz val="11"/>
        <rFont val="WenQuanYi Zen Hei"/>
        <family val="2"/>
      </rPr>
      <t xml:space="preserve">照同樣順序敲一遍！</t>
    </r>
  </si>
  <si>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X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[-6, -2, 2, 6]
</t>
    </r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
reach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1.7
</t>
    </r>
    <r>
      <rPr>
        <sz val="11"/>
        <color rgb="FF0000FF"/>
        <rFont val="WenQuanYi Zen Hei"/>
        <family val="2"/>
      </rPr>
      <t xml:space="preserve">序列長度：</t>
    </r>
    <r>
      <rPr>
        <sz val="11"/>
        <color rgb="FF0000FF"/>
        <rFont val="Arial"/>
        <family val="0"/>
        <charset val="1"/>
      </rPr>
      <t xml:space="preserve">[4, 6]
</t>
    </r>
    <r>
      <rPr>
        <sz val="11"/>
        <color rgb="FF0000FF"/>
        <rFont val="WenQuanYi Zen Hei"/>
        <family val="2"/>
      </rPr>
      <t xml:space="preserve">每拍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0.75
</t>
    </r>
    <r>
      <rPr>
        <sz val="11"/>
        <color rgb="FF0000FF"/>
        <rFont val="WenQuanYi Zen Hei"/>
        <family val="2"/>
      </rPr>
      <t xml:space="preserve">開場延遲：</t>
    </r>
    <r>
      <rPr>
        <sz val="11"/>
        <color rgb="FF0000FF"/>
        <rFont val="Arial"/>
        <family val="0"/>
        <charset val="1"/>
      </rPr>
      <t xml:space="preserve">0.8</t>
    </r>
  </si>
  <si>
    <t xml:space="preserve">range</t>
  </si>
  <si>
    <t xml:space="preserve">塗鴉靶場</t>
  </si>
  <si>
    <t xml:space="preserve">靶場教練</t>
  </si>
  <si>
    <t xml:space="preserve">紙靶會立刻冒出來，在時間內用你的武器全部打倒！</t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</si>
  <si>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11
</t>
    </r>
    <r>
      <rPr>
        <sz val="11"/>
        <color rgb="FF0000FF"/>
        <rFont val="WenQuanYi Zen Hei"/>
        <family val="2"/>
      </rPr>
      <t xml:space="preserve">最小間距：</t>
    </r>
    <r>
      <rPr>
        <sz val="11"/>
        <color rgb="FF0000FF"/>
        <rFont val="Arial"/>
        <family val="0"/>
        <charset val="1"/>
      </rPr>
      <t xml:space="preserve">3</t>
    </r>
  </si>
  <si>
    <t xml:space="preserve">trace</t>
  </si>
  <si>
    <t xml:space="preserve">描線練習</t>
  </si>
  <si>
    <t xml:space="preserve">塗鴉牆</t>
  </si>
  <si>
    <t xml:space="preserve">從黃色起點出發，沿著地上的虛線走到紅色星星。偏離線太遠就算失敗！</t>
  </si>
  <si>
    <r>
      <rPr>
        <sz val="11"/>
        <color rgb="FF0000FF"/>
        <rFont val="WenQuanYi Zen Hei"/>
        <family val="2"/>
      </rPr>
      <t xml:space="preserve">折點數：第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12
</t>
    </r>
    <r>
      <rPr>
        <sz val="11"/>
        <color rgb="FF0000FF"/>
        <rFont val="WenQuanYi Zen Hei"/>
        <family val="2"/>
      </rPr>
      <t xml:space="preserve">容許誤差：</t>
    </r>
    <r>
      <rPr>
        <sz val="11"/>
        <color rgb="FF0000FF"/>
        <rFont val="Arial"/>
        <family val="0"/>
        <charset val="1"/>
      </rPr>
      <t xml:space="preserve">1.15
</t>
    </r>
    <r>
      <rPr>
        <sz val="11"/>
        <color rgb="FF0000FF"/>
        <rFont val="WenQuanYi Zen Hei"/>
        <family val="2"/>
      </rPr>
      <t xml:space="preserve">離線寬限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
</t>
    </r>
    <r>
      <rPr>
        <sz val="11"/>
        <color rgb="FF0000FF"/>
        <rFont val="WenQuanYi Zen Hei"/>
        <family val="2"/>
      </rPr>
      <t xml:space="preserve">虛線間距：</t>
    </r>
    <r>
      <rPr>
        <sz val="11"/>
        <color rgb="FF0000FF"/>
        <rFont val="Arial"/>
        <family val="0"/>
        <charset val="1"/>
      </rPr>
      <t xml:space="preserve">0.55
</t>
    </r>
    <r>
      <rPr>
        <sz val="11"/>
        <color rgb="FF0000FF"/>
        <rFont val="WenQuanYi Zen Hei"/>
        <family val="2"/>
      </rPr>
      <t xml:space="preserve">上下幅度：</t>
    </r>
    <r>
      <rPr>
        <sz val="11"/>
        <color rgb="FF0000FF"/>
        <rFont val="Arial"/>
        <family val="0"/>
        <charset val="1"/>
      </rPr>
      <t xml:space="preserve">4.2
</t>
    </r>
    <r>
      <rPr>
        <sz val="11"/>
        <color rgb="FF0000FF"/>
        <rFont val="WenQuanYi Zen Hei"/>
        <family val="2"/>
      </rPr>
      <t xml:space="preserve">左右幅度：</t>
    </r>
    <r>
      <rPr>
        <sz val="11"/>
        <color rgb="FF0000FF"/>
        <rFont val="Arial"/>
        <family val="0"/>
        <charset val="1"/>
      </rPr>
      <t xml:space="preserve">8.5</t>
    </r>
  </si>
  <si>
    <t xml:space="preserve">push</t>
  </si>
  <si>
    <t xml:space="preserve">推橡皮擦</t>
  </si>
  <si>
    <t xml:space="preserve">把大橡皮擦推進紅色圈圈裡。用身體去頂它，小心別卡進角落！</t>
  </si>
  <si>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20
</t>
    </r>
    <r>
      <rPr>
        <sz val="11"/>
        <color rgb="FF0000FF"/>
        <rFont val="WenQuanYi Zen Hei"/>
        <family val="2"/>
      </rPr>
      <t xml:space="preserve">尺寸：</t>
    </r>
    <r>
      <rPr>
        <sz val="11"/>
        <color rgb="FF0000FF"/>
        <rFont val="Arial"/>
        <family val="0"/>
        <charset val="1"/>
      </rPr>
      <t xml:space="preserve">1.3
</t>
    </r>
    <r>
      <rPr>
        <sz val="11"/>
        <color rgb="FF0000FF"/>
        <rFont val="WenQuanYi Zen Hei"/>
        <family val="2"/>
      </rPr>
      <t xml:space="preserve">目標半徑：</t>
    </r>
    <r>
      <rPr>
        <sz val="11"/>
        <color rgb="FF0000FF"/>
        <rFont val="Arial"/>
        <family val="0"/>
        <charset val="1"/>
      </rPr>
      <t xml:space="preserve">0.9
</t>
    </r>
    <r>
      <rPr>
        <sz val="11"/>
        <color rgb="FF0000FF"/>
        <rFont val="WenQuanYi Zen Hei"/>
        <family val="2"/>
      </rPr>
      <t xml:space="preserve">起終點最小距離：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邊界：</t>
    </r>
    <r>
      <rPr>
        <sz val="11"/>
        <color rgb="FF0000FF"/>
        <rFont val="Arial"/>
        <family val="0"/>
        <charset val="1"/>
      </rPr>
      <t xml:space="preserve">1.4</t>
    </r>
  </si>
  <si>
    <t xml:space="preserve">pour</t>
  </si>
  <si>
    <t xml:space="preserve">倒墨水</t>
  </si>
  <si>
    <t xml:space="preserve">墨水瓶</t>
  </si>
  <si>
    <t xml:space="preserve">站上「倒」字踏板，墨水就會往上升；在剛好到紅線附近時離開踏板。倒滿溢出就失敗！</t>
  </si>
  <si>
    <r>
      <rPr>
        <sz val="11"/>
        <color rgb="FF0000FF"/>
        <rFont val="WenQuanYi Zen Hei"/>
        <family val="2"/>
      </rPr>
      <t xml:space="preserve">上升速度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每秒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0.38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0.45
</t>
    </r>
    <r>
      <rPr>
        <sz val="11"/>
        <color rgb="FF0000FF"/>
        <rFont val="WenQuanYi Zen Hei"/>
        <family val="2"/>
      </rPr>
      <t xml:space="preserve">容許誤差：第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0.08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0.065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0.055
</t>
    </r>
    <r>
      <rPr>
        <sz val="11"/>
        <color rgb="FF0000FF"/>
        <rFont val="WenQuanYi Zen Hei"/>
        <family val="2"/>
      </rPr>
      <t xml:space="preserve">目標範圍：</t>
    </r>
    <r>
      <rPr>
        <sz val="11"/>
        <color rgb="FF0000FF"/>
        <rFont val="Arial"/>
        <family val="0"/>
        <charset val="1"/>
      </rPr>
      <t xml:space="preserve">[0.45, 0.85]
</t>
    </r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1.2
</t>
    </r>
    <r>
      <rPr>
        <sz val="11"/>
        <color rgb="FF0000FF"/>
        <rFont val="WenQuanYi Zen Hei"/>
        <family val="2"/>
      </rPr>
      <t xml:space="preserve">高度：</t>
    </r>
    <r>
      <rPr>
        <sz val="11"/>
        <color rgb="FF0000FF"/>
        <rFont val="Arial"/>
        <family val="0"/>
        <charset val="1"/>
      </rPr>
      <t xml:space="preserve">2.6
</t>
    </r>
    <r>
      <rPr>
        <sz val="11"/>
        <color rgb="FF0000FF"/>
        <rFont val="WenQuanYi Zen Hei"/>
        <family val="2"/>
      </rPr>
      <t xml:space="preserve">寬度：</t>
    </r>
    <r>
      <rPr>
        <sz val="11"/>
        <color rgb="FF0000FF"/>
        <rFont val="Arial"/>
        <family val="0"/>
        <charset val="1"/>
      </rPr>
      <t xml:space="preserve">1.8
</t>
    </r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-1.4
</t>
    </r>
    <r>
      <rPr>
        <sz val="11"/>
        <color rgb="FF0000FF"/>
        <rFont val="WenQuanYi Zen Hei"/>
        <family val="2"/>
      </rPr>
      <t xml:space="preserve">踏板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</t>
    </r>
  </si>
  <si>
    <t xml:space="preserve">tiles</t>
  </si>
  <si>
    <t xml:space="preserve">踩格子</t>
  </si>
  <si>
    <t xml:space="preserve">削鉛筆機</t>
  </si>
  <si>
    <t xml:space="preserve">把每一格白色地板都踩黑，同一格不能踩兩次，打叉的墨漬格也不能踩！時間比較短，先想好路線再走。</t>
  </si>
  <si>
    <r>
      <rPr>
        <sz val="11"/>
        <color rgb="FF0000FF"/>
        <rFont val="WenQuanYi Zen Hei"/>
        <family val="2"/>
      </rPr>
      <t xml:space="preserve">欄：第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列：第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
blocks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尺寸：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28</t>
    </r>
  </si>
  <si>
    <t xml:space="preserve">diff</t>
  </si>
  <si>
    <t xml:space="preserve">找不同</t>
  </si>
  <si>
    <t xml:space="preserve">筆記本</t>
  </si>
  <si>
    <r>
      <rPr>
        <sz val="11"/>
        <rFont val="Arial"/>
        <family val="0"/>
        <charset val="1"/>
      </rPr>
      <t xml:space="preserve">A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兩張圖有幾個地方不一樣。在 </t>
    </r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圖上站到不一樣的格子裡停一下來圈出它，圈錯兩次就失敗！</t>
    </r>
  </si>
  <si>
    <r>
      <rPr>
        <sz val="11"/>
        <color rgb="FF0000FF"/>
        <rFont val="WenQuanYi Zen Hei"/>
        <family val="2"/>
      </rPr>
      <t xml:space="preserve">格子大小：</t>
    </r>
    <r>
      <rPr>
        <sz val="11"/>
        <color rgb="FF0000FF"/>
        <rFont val="Arial"/>
        <family val="0"/>
        <charset val="1"/>
      </rPr>
      <t xml:space="preserve">2.2
</t>
    </r>
    <r>
      <rPr>
        <sz val="11"/>
        <color rgb="FF0000FF"/>
        <rFont val="WenQuanYi Zen Hei"/>
        <family val="2"/>
      </rPr>
      <t xml:space="preserve">不同處：第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可失誤次數：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27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24
</t>
    </r>
    <r>
      <rPr>
        <sz val="11"/>
        <color rgb="FF0000FF"/>
        <rFont val="WenQuanYi Zen Hei"/>
        <family val="2"/>
      </rPr>
      <t xml:space="preserve">停留確認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0.6
</t>
    </r>
    <r>
      <rPr>
        <sz val="11"/>
        <color rgb="FF0000FF"/>
        <rFont val="WenQuanYi Zen Hei"/>
        <family val="2"/>
      </rPr>
      <t xml:space="preserve">左右間距：</t>
    </r>
    <r>
      <rPr>
        <sz val="11"/>
        <color rgb="FF0000FF"/>
        <rFont val="Arial"/>
        <family val="0"/>
        <charset val="1"/>
      </rPr>
      <t xml:space="preserve">4.6</t>
    </r>
  </si>
  <si>
    <t xml:space="preserve">pairs</t>
  </si>
  <si>
    <t xml:space="preserve">翻牌配對</t>
  </si>
  <si>
    <t xml:space="preserve">扭蛋機</t>
  </si>
  <si>
    <t xml:space="preserve">站在牌上停一下就會翻開。一次翻兩張，圖案一樣就配對成功；配錯太多次就失敗！</t>
  </si>
  <si>
    <r>
      <rPr>
        <sz val="11"/>
        <color rgb="FF0000FF"/>
        <rFont val="WenQuanYi Zen Hei"/>
        <family val="2"/>
      </rPr>
      <t xml:space="preserve">欄：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列：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間距：</t>
    </r>
    <r>
      <rPr>
        <sz val="11"/>
        <color rgb="FF0000FF"/>
        <rFont val="Arial"/>
        <family val="0"/>
        <charset val="1"/>
      </rPr>
      <t xml:space="preserve">2.6
</t>
    </r>
    <r>
      <rPr>
        <sz val="11"/>
        <color rgb="FF0000FF"/>
        <rFont val="WenQuanYi Zen Hei"/>
        <family val="2"/>
      </rPr>
      <t xml:space="preserve">可失誤次數：第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停留確認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0.45
</t>
    </r>
    <r>
      <rPr>
        <sz val="11"/>
        <color rgb="FF0000FF"/>
        <rFont val="WenQuanYi Zen Hei"/>
        <family val="2"/>
      </rPr>
      <t xml:space="preserve">翻開展示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0.9</t>
    </r>
  </si>
  <si>
    <t xml:space="preserve">rain</t>
  </si>
  <si>
    <t xml:space="preserve">躲墨雨</t>
  </si>
  <si>
    <t xml:space="preserve">墨水雲</t>
  </si>
  <si>
    <t xml:space="preserve">墨水雲要下雨了！地上的影子會越來越大，墨滴落下前趕快離開影子。撐過時間就過關，被淋到太多次就失敗。</t>
  </si>
  <si>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18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22
</t>
    </r>
    <r>
      <rPr>
        <sz val="11"/>
        <color rgb="FF0000FF"/>
        <rFont val="WenQuanYi Zen Hei"/>
        <family val="2"/>
      </rPr>
      <t xml:space="preserve">掉落間隔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0.85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0.7
</t>
    </r>
    <r>
      <rPr>
        <sz val="11"/>
        <color rgb="FF0000FF"/>
        <rFont val="WenQuanYi Zen Hei"/>
        <family val="2"/>
      </rPr>
      <t xml:space="preserve">影子預警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0.9
</t>
    </r>
    <r>
      <rPr>
        <sz val="11"/>
        <color rgb="FF0000FF"/>
        <rFont val="WenQuanYi Zen Hei"/>
        <family val="2"/>
      </rPr>
      <t xml:space="preserve">墨滴半徑：第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1.5
</t>
    </r>
    <r>
      <rPr>
        <sz val="11"/>
        <color rgb="FF0000FF"/>
        <rFont val="WenQuanYi Zen Hei"/>
        <family val="2"/>
      </rPr>
      <t xml:space="preserve">雙滴機率：第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0.15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0.25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0.35
</t>
    </r>
    <r>
      <rPr>
        <sz val="11"/>
        <color rgb="FF0000FF"/>
        <rFont val="WenQuanYi Zen Hei"/>
        <family val="2"/>
      </rPr>
      <t xml:space="preserve">可被淋次數：第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墨滴上限：</t>
    </r>
    <r>
      <rPr>
        <sz val="11"/>
        <color rgb="FF0000FF"/>
        <rFont val="Arial"/>
        <family val="0"/>
        <charset val="1"/>
      </rPr>
      <t xml:space="preserve">16
</t>
    </r>
    <r>
      <rPr>
        <sz val="11"/>
        <color rgb="FF0000FF"/>
        <rFont val="WenQuanYi Zen Hei"/>
        <family val="2"/>
      </rPr>
      <t xml:space="preserve">落點範圍：</t>
    </r>
    <r>
      <rPr>
        <sz val="11"/>
        <color rgb="FF0000FF"/>
        <rFont val="Arial"/>
        <family val="0"/>
        <charset val="1"/>
      </rPr>
      <t xml:space="preserve">[9, 5.2]
</t>
    </r>
    <r>
      <rPr>
        <sz val="11"/>
        <color rgb="FF0000FF"/>
        <rFont val="WenQuanYi Zen Hei"/>
        <family val="2"/>
      </rPr>
      <t xml:space="preserve">瞄準玩家機率：</t>
    </r>
    <r>
      <rPr>
        <sz val="11"/>
        <color rgb="FF0000FF"/>
        <rFont val="Arial"/>
        <family val="0"/>
        <charset val="1"/>
      </rPr>
      <t xml:space="preserve">0.55
</t>
    </r>
    <r>
      <rPr>
        <sz val="11"/>
        <color rgb="FF0000FF"/>
        <rFont val="WenQuanYi Zen Hei"/>
        <family val="2"/>
      </rPr>
      <t xml:space="preserve">瞄準偏移：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落下高度：</t>
    </r>
    <r>
      <rPr>
        <sz val="11"/>
        <color rgb="FF0000FF"/>
        <rFont val="Arial"/>
        <family val="0"/>
        <charset val="1"/>
      </rPr>
      <t xml:space="preserve">9
</t>
    </r>
    <r>
      <rPr>
        <sz val="11"/>
        <color rgb="FF0000FF"/>
        <rFont val="WenQuanYi Zen Hei"/>
        <family val="2"/>
      </rPr>
      <t xml:space="preserve">首滴延遲：</t>
    </r>
    <r>
      <rPr>
        <sz val="11"/>
        <color rgb="FF0000FF"/>
        <rFont val="Arial"/>
        <family val="0"/>
        <charset val="1"/>
      </rPr>
      <t xml:space="preserve">0.8
</t>
    </r>
    <r>
      <rPr>
        <sz val="11"/>
        <color rgb="FF0000FF"/>
        <rFont val="WenQuanYi Zen Hei"/>
        <family val="2"/>
      </rPr>
      <t xml:space="preserve">後段加速：</t>
    </r>
    <r>
      <rPr>
        <sz val="11"/>
        <color rgb="FF0000FF"/>
        <rFont val="Arial"/>
        <family val="0"/>
        <charset val="1"/>
      </rPr>
      <t xml:space="preserve">0.55
</t>
    </r>
    <r>
      <rPr>
        <sz val="11"/>
        <color rgb="FF0000FF"/>
        <rFont val="WenQuanYi Zen Hei"/>
        <family val="2"/>
      </rPr>
      <t xml:space="preserve">後段預警縮短：</t>
    </r>
    <r>
      <rPr>
        <sz val="11"/>
        <color rgb="FF0000FF"/>
        <rFont val="Arial"/>
        <family val="0"/>
        <charset val="1"/>
      </rPr>
      <t xml:space="preserve">0.45
</t>
    </r>
    <r>
      <rPr>
        <sz val="11"/>
        <color rgb="FF0000FF"/>
        <rFont val="WenQuanYi Zen Hei"/>
        <family val="2"/>
      </rPr>
      <t xml:space="preserve">後段雙滴增加：</t>
    </r>
    <r>
      <rPr>
        <sz val="11"/>
        <color rgb="FF0000FF"/>
        <rFont val="Arial"/>
        <family val="0"/>
        <charset val="1"/>
      </rPr>
      <t xml:space="preserve">0.3
</t>
    </r>
    <r>
      <rPr>
        <sz val="11"/>
        <color rgb="FF0000FF"/>
        <rFont val="WenQuanYi Zen Hei"/>
        <family val="2"/>
      </rPr>
      <t xml:space="preserve">墨漬淡出：</t>
    </r>
    <r>
      <rPr>
        <sz val="11"/>
        <color rgb="FF0000FF"/>
        <rFont val="Arial"/>
        <family val="0"/>
        <charset val="1"/>
      </rPr>
      <t xml:space="preserve">0.8</t>
    </r>
  </si>
  <si>
    <t xml:space="preserve">dice</t>
  </si>
  <si>
    <t xml:space="preserve">骰子賭運</t>
  </si>
  <si>
    <t xml:space="preserve">骰子先生</t>
  </si>
  <si>
    <r>
      <rPr>
        <sz val="11"/>
        <rFont val="WenQuanYi Zen Hei"/>
        <family val="2"/>
      </rPr>
      <t xml:space="preserve">站上「大」或「小」下注，然後我來擲骰子：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是大、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是小。猜對就有獎！</t>
    </r>
  </si>
  <si>
    <r>
      <rPr>
        <sz val="11"/>
        <color rgb="FF0000FF"/>
        <rFont val="WenQuanYi Zen Hei"/>
        <family val="2"/>
      </rPr>
      <t xml:space="preserve">踏板位置：</t>
    </r>
    <r>
      <rPr>
        <sz val="11"/>
        <color rgb="FF0000FF"/>
        <rFont val="Arial"/>
        <family val="0"/>
        <charset val="1"/>
      </rPr>
      <t xml:space="preserve">[-3.6, 3.6]
</t>
    </r>
    <r>
      <rPr>
        <sz val="11"/>
        <color rgb="FF0000FF"/>
        <rFont val="WenQuanYi Zen Hei"/>
        <family val="2"/>
      </rPr>
      <t xml:space="preserve">踏板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1.25
</t>
    </r>
    <r>
      <rPr>
        <sz val="11"/>
        <color rgb="FF0000FF"/>
        <rFont val="WenQuanYi Zen Hei"/>
        <family val="2"/>
      </rPr>
      <t xml:space="preserve">停留確認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0.8
</t>
    </r>
    <r>
      <rPr>
        <sz val="11"/>
        <color rgb="FF0000FF"/>
        <rFont val="WenQuanYi Zen Hei"/>
        <family val="2"/>
      </rPr>
      <t xml:space="preserve">擲骰時間：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骰子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-2.4
</t>
    </r>
    <r>
      <rPr>
        <sz val="11"/>
        <color rgb="FF0000FF"/>
        <rFont val="WenQuanYi Zen Hei"/>
        <family val="2"/>
      </rPr>
      <t xml:space="preserve">尺寸：</t>
    </r>
    <r>
      <rPr>
        <sz val="11"/>
        <color rgb="FF0000FF"/>
        <rFont val="Arial"/>
        <family val="0"/>
        <charset val="1"/>
      </rPr>
      <t xml:space="preserve">1.3</t>
    </r>
  </si>
  <si>
    <t xml:space="preserve">plane</t>
  </si>
  <si>
    <t xml:space="preserve">紙飛機</t>
  </si>
  <si>
    <r>
      <rPr>
        <sz val="11"/>
        <rFont val="WenQuanYi Zen Hei"/>
        <family val="2"/>
      </rPr>
      <t xml:space="preserve">站在「丟」字發射台上，用滑鼠瞄準垃圾桶，看準旁邊力道條的高度按 </t>
    </r>
    <r>
      <rPr>
        <sz val="11"/>
        <rFont val="Arial"/>
        <family val="0"/>
        <charset val="1"/>
      </rPr>
      <t xml:space="preserve">F </t>
    </r>
    <r>
      <rPr>
        <sz val="11"/>
        <rFont val="WenQuanYi Zen Hei"/>
        <family val="2"/>
      </rPr>
      <t xml:space="preserve">丟出。要把紙飛機投進兩個垃圾桶，最多可以失誤四次！</t>
    </r>
  </si>
  <si>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[0, 3.6]
</t>
    </r>
    <r>
      <rPr>
        <sz val="11"/>
        <color rgb="FF0000FF"/>
        <rFont val="WenQuanYi Zen Hei"/>
        <family val="2"/>
      </rPr>
      <t xml:space="preserve">發射台半徑：</t>
    </r>
    <r>
      <rPr>
        <sz val="11"/>
        <color rgb="FF0000FF"/>
        <rFont val="Arial"/>
        <family val="0"/>
        <charset val="1"/>
      </rPr>
      <t xml:space="preserve">1.1
bins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
misses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垃圾桶半徑：</t>
    </r>
    <r>
      <rPr>
        <sz val="11"/>
        <color rgb="FF0000FF"/>
        <rFont val="Arial"/>
        <family val="0"/>
        <charset val="1"/>
      </rPr>
      <t xml:space="preserve">1.05
</t>
    </r>
    <r>
      <rPr>
        <sz val="11"/>
        <color rgb="FF0000FF"/>
        <rFont val="WenQuanYi Zen Hei"/>
        <family val="2"/>
      </rPr>
      <t xml:space="preserve">最短距離：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最遠距離：</t>
    </r>
    <r>
      <rPr>
        <sz val="11"/>
        <color rgb="FF0000FF"/>
        <rFont val="Arial"/>
        <family val="0"/>
        <charset val="1"/>
      </rPr>
      <t xml:space="preserve">12
</t>
    </r>
    <r>
      <rPr>
        <sz val="11"/>
        <color rgb="FF0000FF"/>
        <rFont val="WenQuanYi Zen Hei"/>
        <family val="2"/>
      </rPr>
      <t xml:space="preserve">力道條速度：第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1.35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飛行時間：</t>
    </r>
    <r>
      <rPr>
        <sz val="11"/>
        <color rgb="FF0000FF"/>
        <rFont val="Arial"/>
        <family val="0"/>
        <charset val="1"/>
      </rPr>
      <t xml:space="preserve">0.9
</t>
    </r>
    <r>
      <rPr>
        <sz val="11"/>
        <color rgb="FF0000FF"/>
        <rFont val="WenQuanYi Zen Hei"/>
        <family val="2"/>
      </rPr>
      <t xml:space="preserve">垃圾桶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範圍：</t>
    </r>
    <r>
      <rPr>
        <sz val="11"/>
        <color rgb="FF0000FF"/>
        <rFont val="Arial"/>
        <family val="0"/>
        <charset val="1"/>
      </rPr>
      <t xml:space="preserve">[-4.6, -2.2]
</t>
    </r>
    <r>
      <rPr>
        <sz val="11"/>
        <color rgb="FF0000FF"/>
        <rFont val="WenQuanYi Zen Hei"/>
        <family val="2"/>
      </rPr>
      <t xml:space="preserve">垃圾桶</t>
    </r>
    <r>
      <rPr>
        <sz val="11"/>
        <color rgb="FF0000FF"/>
        <rFont val="Arial"/>
        <family val="0"/>
        <charset val="1"/>
      </rPr>
      <t xml:space="preserve">X</t>
    </r>
    <r>
      <rPr>
        <sz val="11"/>
        <color rgb="FF0000FF"/>
        <rFont val="WenQuanYi Zen Hei"/>
        <family val="2"/>
      </rPr>
      <t xml:space="preserve">範圍：</t>
    </r>
    <r>
      <rPr>
        <sz val="11"/>
        <color rgb="FF0000FF"/>
        <rFont val="Arial"/>
        <family val="0"/>
        <charset val="1"/>
      </rPr>
      <t xml:space="preserve">6.5
binMinX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1.8</t>
    </r>
  </si>
  <si>
    <t xml:space="preserve">maze</t>
  </si>
  <si>
    <t xml:space="preserve">書本迷宮</t>
  </si>
  <si>
    <t xml:space="preserve">尺</t>
  </si>
  <si>
    <t xml:space="preserve">書本會圍成迷宮，在時間內走到紅色星星那一格！</t>
  </si>
  <si>
    <r>
      <rPr>
        <sz val="11"/>
        <color rgb="FF0000FF"/>
        <rFont val="WenQuanYi Zen Hei"/>
        <family val="2"/>
      </rPr>
      <t xml:space="preserve">欄：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列：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格子大小：</t>
    </r>
    <r>
      <rPr>
        <sz val="11"/>
        <color rgb="FF0000FF"/>
        <rFont val="Arial"/>
        <family val="0"/>
        <charset val="1"/>
      </rPr>
      <t xml:space="preserve">2.5
</t>
    </r>
    <r>
      <rPr>
        <sz val="11"/>
        <color rgb="FF0000FF"/>
        <rFont val="WenQuanYi Zen Hei"/>
        <family val="2"/>
      </rPr>
      <t xml:space="preserve">起點</t>
    </r>
    <r>
      <rPr>
        <sz val="11"/>
        <color rgb="FF0000FF"/>
        <rFont val="Arial"/>
        <family val="0"/>
        <charset val="1"/>
      </rPr>
      <t xml:space="preserve">X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-10
</t>
    </r>
    <r>
      <rPr>
        <sz val="11"/>
        <color rgb="FF0000FF"/>
        <rFont val="WenQuanYi Zen Hei"/>
        <family val="2"/>
      </rPr>
      <t xml:space="preserve">起點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-6.25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20
</t>
    </r>
    <r>
      <rPr>
        <sz val="11"/>
        <color rgb="FF0000FF"/>
        <rFont val="WenQuanYi Zen Hei"/>
        <family val="2"/>
      </rPr>
      <t xml:space="preserve">牆厚：</t>
    </r>
    <r>
      <rPr>
        <sz val="11"/>
        <color rgb="FF0000FF"/>
        <rFont val="Arial"/>
        <family val="0"/>
        <charset val="1"/>
      </rPr>
      <t xml:space="preserve">0.32
</t>
    </r>
    <r>
      <rPr>
        <sz val="11"/>
        <color rgb="FF0000FF"/>
        <rFont val="WenQuanYi Zen Hei"/>
        <family val="2"/>
      </rPr>
      <t xml:space="preserve">牆高：</t>
    </r>
    <r>
      <rPr>
        <sz val="11"/>
        <color rgb="FF0000FF"/>
        <rFont val="Arial"/>
        <family val="0"/>
        <charset val="1"/>
      </rPr>
      <t xml:space="preserve">1</t>
    </r>
  </si>
  <si>
    <t xml:space="preserve">rhythm</t>
  </si>
  <si>
    <t xml:space="preserve">節奏踩點</t>
  </si>
  <si>
    <t xml:space="preserve">節拍器</t>
  </si>
  <si>
    <t xml:space="preserve">音符會從天上掉到三個圈圈裡。音符落地時，站在它掉下的那個圈裡接住它！</t>
  </si>
  <si>
    <r>
      <rPr>
        <sz val="11"/>
        <color rgb="FF0000FF"/>
        <rFont val="WenQuanYi Zen Hei"/>
        <family val="2"/>
      </rPr>
      <t xml:space="preserve">軌道</t>
    </r>
    <r>
      <rPr>
        <sz val="11"/>
        <color rgb="FF0000FF"/>
        <rFont val="Arial"/>
        <family val="0"/>
        <charset val="1"/>
      </rPr>
      <t xml:space="preserve">X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-3.6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3.6
</t>
    </r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1.4
</t>
    </r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1.25
</t>
    </r>
    <r>
      <rPr>
        <sz val="11"/>
        <color rgb="FF0000FF"/>
        <rFont val="WenQuanYi Zen Hei"/>
        <family val="2"/>
      </rPr>
      <t xml:space="preserve">數量：第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14
</t>
    </r>
    <r>
      <rPr>
        <sz val="11"/>
        <color rgb="FF0000FF"/>
        <rFont val="WenQuanYi Zen Hei"/>
        <family val="2"/>
      </rPr>
      <t xml:space="preserve">間距：第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0.85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0.72
</t>
    </r>
    <r>
      <rPr>
        <sz val="11"/>
        <color rgb="FF0000FF"/>
        <rFont val="WenQuanYi Zen Hei"/>
        <family val="2"/>
      </rPr>
      <t xml:space="preserve">掉落時間：</t>
    </r>
    <r>
      <rPr>
        <sz val="11"/>
        <color rgb="FF0000FF"/>
        <rFont val="Arial"/>
        <family val="0"/>
        <charset val="1"/>
      </rPr>
      <t xml:space="preserve">1.4
</t>
    </r>
    <r>
      <rPr>
        <sz val="11"/>
        <color rgb="FF0000FF"/>
        <rFont val="WenQuanYi Zen Hei"/>
        <family val="2"/>
      </rPr>
      <t xml:space="preserve">可失誤次數：第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開場延遲：</t>
    </r>
    <r>
      <rPr>
        <sz val="11"/>
        <color rgb="FF0000FF"/>
        <rFont val="Arial"/>
        <family val="0"/>
        <charset val="1"/>
      </rPr>
      <t xml:space="preserve">1.2</t>
    </r>
  </si>
  <si>
    <t xml:space="preserve">shadow</t>
  </si>
  <si>
    <t xml:space="preserve">跟著影子走</t>
  </si>
  <si>
    <t xml:space="preserve">塗鴉幽靈</t>
  </si>
  <si>
    <t xml:space="preserve">我的影子會依序走過幾個叉叉。記住它走的順序，再照同樣順序踩一遍！</t>
  </si>
  <si>
    <r>
      <rPr>
        <sz val="11"/>
        <color rgb="FF0000FF"/>
        <rFont val="WenQuanYi Zen Hei"/>
        <family val="2"/>
      </rPr>
      <t xml:space="preserve">叉叉數：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序列長度：第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影子速度：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最小間距：</t>
    </r>
    <r>
      <rPr>
        <sz val="11"/>
        <color rgb="FF0000FF"/>
        <rFont val="Arial"/>
        <family val="0"/>
        <charset val="1"/>
      </rPr>
      <t xml:space="preserve">3.2
</t>
    </r>
    <r>
      <rPr>
        <sz val="11"/>
        <color rgb="FF0000FF"/>
        <rFont val="WenQuanYi Zen Hei"/>
        <family val="2"/>
      </rPr>
      <t xml:space="preserve">叉叉半徑：</t>
    </r>
    <r>
      <rPr>
        <sz val="11"/>
        <color rgb="FF0000FF"/>
        <rFont val="Arial"/>
        <family val="0"/>
        <charset val="1"/>
      </rPr>
      <t xml:space="preserve">0.9
</t>
    </r>
    <r>
      <rPr>
        <sz val="11"/>
        <color rgb="FF0000FF"/>
        <rFont val="WenQuanYi Zen Hei"/>
        <family val="2"/>
      </rPr>
      <t xml:space="preserve">停頓：</t>
    </r>
    <r>
      <rPr>
        <sz val="11"/>
        <color rgb="FF0000FF"/>
        <rFont val="Arial"/>
        <family val="0"/>
        <charset val="1"/>
      </rPr>
      <t xml:space="preserve">0.35
trail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90
trailR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
trailGap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0.28
trailLife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</t>
    </r>
  </si>
  <si>
    <t xml:space="preserve">marble</t>
  </si>
  <si>
    <t xml:space="preserve">滾彈珠</t>
  </si>
  <si>
    <t xml:space="preserve">彈珠</t>
  </si>
  <si>
    <t xml:space="preserve">用身體把紅色彈珠撞進前方的紅圈。地上的黑洞會吃掉彈珠！</t>
  </si>
  <si>
    <r>
      <rPr>
        <sz val="11"/>
        <color rgb="FF0000FF"/>
        <rFont val="WenQuanYi Zen Hei"/>
        <family val="2"/>
      </rPr>
      <t xml:space="preserve">彈珠半徑：</t>
    </r>
    <r>
      <rPr>
        <sz val="11"/>
        <color rgb="FF0000FF"/>
        <rFont val="Arial"/>
        <family val="0"/>
        <charset val="1"/>
      </rPr>
      <t xml:space="preserve">0.45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28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26
</t>
    </r>
    <r>
      <rPr>
        <sz val="11"/>
        <color rgb="FF0000FF"/>
        <rFont val="WenQuanYi Zen Hei"/>
        <family val="2"/>
      </rPr>
      <t xml:space="preserve">黑洞數：第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黑洞半徑：</t>
    </r>
    <r>
      <rPr>
        <sz val="11"/>
        <color rgb="FF0000FF"/>
        <rFont val="Arial"/>
        <family val="0"/>
        <charset val="1"/>
      </rPr>
      <t xml:space="preserve">0.85
</t>
    </r>
    <r>
      <rPr>
        <sz val="11"/>
        <color rgb="FF0000FF"/>
        <rFont val="WenQuanYi Zen Hei"/>
        <family val="2"/>
      </rPr>
      <t xml:space="preserve">目標半徑：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撞擊力：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摩擦：</t>
    </r>
    <r>
      <rPr>
        <sz val="11"/>
        <color rgb="FF0000FF"/>
        <rFont val="Arial"/>
        <family val="0"/>
        <charset val="1"/>
      </rPr>
      <t xml:space="preserve">1.1
</t>
    </r>
    <r>
      <rPr>
        <sz val="11"/>
        <color rgb="FF0000FF"/>
        <rFont val="WenQuanYi Zen Hei"/>
        <family val="2"/>
      </rPr>
      <t xml:space="preserve">反彈：</t>
    </r>
    <r>
      <rPr>
        <sz val="11"/>
        <color rgb="FF0000FF"/>
        <rFont val="Arial"/>
        <family val="0"/>
        <charset val="1"/>
      </rPr>
      <t xml:space="preserve">0.6</t>
    </r>
  </si>
  <si>
    <t xml:space="preserve">cups</t>
  </si>
  <si>
    <t xml:space="preserve">猜杯子</t>
  </si>
  <si>
    <t xml:space="preserve">咖啡杯</t>
  </si>
  <si>
    <t xml:space="preserve">墨珠藏在其中一個杯子底下。我會把杯子打亂，看清楚之後站到你猜的杯子前面！</t>
  </si>
  <si>
    <r>
      <rPr>
        <sz val="11"/>
        <color rgb="FF0000FF"/>
        <rFont val="Arial"/>
        <family val="0"/>
        <charset val="1"/>
      </rPr>
      <t xml:space="preserve">counts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[[3, 3, 4], [3, 4, 5], [4, 5, 5]]
spacing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-1.2
</t>
    </r>
    <r>
      <rPr>
        <sz val="11"/>
        <color rgb="FF0000FF"/>
        <rFont val="WenQuanYi Zen Hei"/>
        <family val="2"/>
      </rPr>
      <t xml:space="preserve">踏板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1.2
</t>
    </r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交換次數：第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7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9
</t>
    </r>
    <r>
      <rPr>
        <sz val="11"/>
        <color rgb="FF0000FF"/>
        <rFont val="WenQuanYi Zen Hei"/>
        <family val="2"/>
      </rPr>
      <t xml:space="preserve">每次交換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0.55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0.45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0.38
</t>
    </r>
    <r>
      <rPr>
        <sz val="11"/>
        <color rgb="FF0000FF"/>
        <rFont val="WenQuanYi Zen Hei"/>
        <family val="2"/>
      </rPr>
      <t xml:space="preserve">偷看時間：</t>
    </r>
    <r>
      <rPr>
        <sz val="11"/>
        <color rgb="FF0000FF"/>
        <rFont val="Arial"/>
        <family val="0"/>
        <charset val="1"/>
      </rPr>
      <t xml:space="preserve">1.2
</t>
    </r>
    <r>
      <rPr>
        <sz val="11"/>
        <color rgb="FF0000FF"/>
        <rFont val="WenQuanYi Zen Hei"/>
        <family val="2"/>
      </rPr>
      <t xml:space="preserve">停留確認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0.6
</t>
    </r>
    <r>
      <rPr>
        <sz val="11"/>
        <color rgb="FF0000FF"/>
        <rFont val="WenQuanYi Zen Hei"/>
        <family val="2"/>
      </rPr>
      <t xml:space="preserve">掀起高度：</t>
    </r>
    <r>
      <rPr>
        <sz val="11"/>
        <color rgb="FF0000FF"/>
        <rFont val="Arial"/>
        <family val="0"/>
        <charset val="1"/>
      </rPr>
      <t xml:space="preserve">1.4</t>
    </r>
  </si>
  <si>
    <t xml:space="preserve">teacher</t>
  </si>
  <si>
    <t xml:space="preserve">老師說</t>
  </si>
  <si>
    <t xml:space="preserve">老師</t>
  </si>
  <si>
    <t xml:space="preserve">只有「老師說」開頭的指令才要照做，沒有說就站著別動！先站進中間的圈圈等指令：向左、向右就跑進那邊的圈圈，衝刺就按空白鍵或右鍵。</t>
  </si>
  <si>
    <r>
      <rPr>
        <sz val="11"/>
        <color rgb="FF0000FF"/>
        <rFont val="WenQuanYi Zen Hei"/>
        <family val="2"/>
      </rPr>
      <t xml:space="preserve">指令數：第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8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12
</t>
    </r>
    <r>
      <rPr>
        <sz val="11"/>
        <color rgb="FF0000FF"/>
        <rFont val="WenQuanYi Zen Hei"/>
        <family val="2"/>
      </rPr>
      <t xml:space="preserve">假指令機率：第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0.55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0.6
</t>
    </r>
    <r>
      <rPr>
        <sz val="11"/>
        <color rgb="FF0000FF"/>
        <rFont val="WenQuanYi Zen Hei"/>
        <family val="2"/>
      </rPr>
      <t xml:space="preserve">假指令最多連續：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開頭必為真指令數：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可失誤次數：第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真指令時限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1.3
</t>
    </r>
    <r>
      <rPr>
        <sz val="11"/>
        <color rgb="FF0000FF"/>
        <rFont val="WenQuanYi Zen Hei"/>
        <family val="2"/>
      </rPr>
      <t xml:space="preserve">先左後右時限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3.4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2.6
</t>
    </r>
    <r>
      <rPr>
        <sz val="11"/>
        <color rgb="FF0000FF"/>
        <rFont val="WenQuanYi Zen Hei"/>
        <family val="2"/>
      </rPr>
      <t xml:space="preserve">假指令需站住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間距：第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0.9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0.8
</t>
    </r>
    <r>
      <rPr>
        <sz val="11"/>
        <color rgb="FF0000FF"/>
        <rFont val="WenQuanYi Zen Hei"/>
        <family val="2"/>
      </rPr>
      <t xml:space="preserve">間隔隨機加成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0.6
</t>
    </r>
    <r>
      <rPr>
        <sz val="11"/>
        <color rgb="FF0000FF"/>
        <rFont val="WenQuanYi Zen Hei"/>
        <family val="2"/>
      </rPr>
      <t xml:space="preserve">連續指令機率：第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0.35
</t>
    </r>
    <r>
      <rPr>
        <sz val="11"/>
        <color rgb="FF0000FF"/>
        <rFont val="WenQuanYi Zen Hei"/>
        <family val="2"/>
      </rPr>
      <t xml:space="preserve">反向箭頭機率：第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0.5
</t>
    </r>
    <r>
      <rPr>
        <sz val="11"/>
        <color rgb="FF0000FF"/>
        <rFont val="WenQuanYi Zen Hei"/>
        <family val="2"/>
      </rPr>
      <t xml:space="preserve">近似開頭機率：第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0.7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0.8
nearHard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0.6
nearEasyKeys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[1, 2, 3, 4]
nearHardKeys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[5, 6, 7, 8]
</t>
    </r>
    <r>
      <rPr>
        <sz val="11"/>
        <color rgb="FF0000FF"/>
        <rFont val="WenQuanYi Zen Hei"/>
        <family val="2"/>
      </rPr>
      <t xml:space="preserve">總時間保險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60
</t>
    </r>
    <r>
      <rPr>
        <sz val="11"/>
        <color rgb="FF0000FF"/>
        <rFont val="WenQuanYi Zen Hei"/>
        <family val="2"/>
      </rPr>
      <t xml:space="preserve">中間圈位置：</t>
    </r>
    <r>
      <rPr>
        <sz val="11"/>
        <color rgb="FF0000FF"/>
        <rFont val="Arial"/>
        <family val="0"/>
        <charset val="1"/>
      </rPr>
      <t xml:space="preserve">[0, 2.6]
</t>
    </r>
    <r>
      <rPr>
        <sz val="11"/>
        <color rgb="FF0000FF"/>
        <rFont val="WenQuanYi Zen Hei"/>
        <family val="2"/>
      </rPr>
      <t xml:space="preserve">中間圈半徑：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假指令離開判定半徑：</t>
    </r>
    <r>
      <rPr>
        <sz val="11"/>
        <color rgb="FF0000FF"/>
        <rFont val="Arial"/>
        <family val="0"/>
        <charset val="1"/>
      </rPr>
      <t xml:space="preserve">1.3
</t>
    </r>
    <r>
      <rPr>
        <sz val="11"/>
        <color rgb="FF0000FF"/>
        <rFont val="WenQuanYi Zen Hei"/>
        <family val="2"/>
      </rPr>
      <t xml:space="preserve">站穩速度上限：</t>
    </r>
    <r>
      <rPr>
        <sz val="11"/>
        <color rgb="FF0000FF"/>
        <rFont val="Arial"/>
        <family val="0"/>
        <charset val="1"/>
      </rPr>
      <t xml:space="preserve">0.6
</t>
    </r>
    <r>
      <rPr>
        <sz val="11"/>
        <color rgb="FF0000FF"/>
        <rFont val="WenQuanYi Zen Hei"/>
        <family val="2"/>
      </rPr>
      <t xml:space="preserve">站穩時間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0.3
</t>
    </r>
    <r>
      <rPr>
        <sz val="11"/>
        <color rgb="FF0000FF"/>
        <rFont val="WenQuanYi Zen Hei"/>
        <family val="2"/>
      </rPr>
      <t xml:space="preserve">左右圈</t>
    </r>
    <r>
      <rPr>
        <sz val="11"/>
        <color rgb="FF0000FF"/>
        <rFont val="Arial"/>
        <family val="0"/>
        <charset val="1"/>
      </rPr>
      <t xml:space="preserve">(x,z,</t>
    </r>
    <r>
      <rPr>
        <sz val="11"/>
        <color rgb="FF0000FF"/>
        <rFont val="WenQuanYi Zen Hei"/>
        <family val="2"/>
      </rPr>
      <t xml:space="preserve">半徑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{'x': 5, 'z': 0.6, 'r': 1.3}
</t>
    </r>
    <r>
      <rPr>
        <sz val="11"/>
        <color rgb="FF0000FF"/>
        <rFont val="WenQuanYi Zen Hei"/>
        <family val="2"/>
      </rPr>
      <t xml:space="preserve">紅叉顯示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
markSize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3.4
flashTime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0.8
wrongShake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0.35
</t>
    </r>
    <r>
      <rPr>
        <sz val="11"/>
        <color rgb="FF0000FF"/>
        <rFont val="WenQuanYi Zen Hei"/>
        <family val="2"/>
      </rPr>
      <t xml:space="preserve">對話框時間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1.6</t>
    </r>
  </si>
  <si>
    <t xml:space="preserve">count</t>
  </si>
  <si>
    <t xml:space="preserve">心中有數</t>
  </si>
  <si>
    <t xml:space="preserve">沙漏</t>
  </si>
  <si>
    <r>
      <rPr>
        <sz val="11"/>
        <rFont val="WenQuanYi Zen Hei"/>
        <family val="2"/>
      </rPr>
      <t xml:space="preserve">我會告訴你一個秒數。倒數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之後碼錶開始跑，跑沒幾秒螢幕就會暗掉，你得在心裡默數，覺得時間到了就按互動鍵停下碼錶！誤差 </t>
    </r>
    <r>
      <rPr>
        <sz val="11"/>
        <rFont val="Arial"/>
        <family val="0"/>
        <charset val="1"/>
      </rPr>
      <t xml:space="preserve">0.3 </t>
    </r>
    <r>
      <rPr>
        <sz val="11"/>
        <rFont val="WenQuanYi Zen Hei"/>
        <family val="2"/>
      </rPr>
      <t xml:space="preserve">秒內算完美（多拿一項獎勵），</t>
    </r>
    <r>
      <rPr>
        <sz val="11"/>
        <rFont val="Arial"/>
        <family val="0"/>
        <charset val="1"/>
      </rPr>
      <t xml:space="preserve">0.6 </t>
    </r>
    <r>
      <rPr>
        <sz val="11"/>
        <rFont val="WenQuanYi Zen Hei"/>
        <family val="2"/>
      </rPr>
      <t xml:space="preserve">秒內也算過關。</t>
    </r>
  </si>
  <si>
    <r>
      <rPr>
        <sz val="11"/>
        <color rgb="FF0000FF"/>
        <rFont val="WenQuanYi Zen Hei"/>
        <family val="2"/>
      </rPr>
      <t xml:space="preserve">秒數範圍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整數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[6, 11]
</t>
    </r>
    <r>
      <rPr>
        <sz val="11"/>
        <color rgb="FF0000FF"/>
        <rFont val="WenQuanYi Zen Hei"/>
        <family val="2"/>
      </rPr>
      <t xml:space="preserve">倒數秒數：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開始變暗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[3, 4]
</t>
    </r>
    <r>
      <rPr>
        <sz val="11"/>
        <color rgb="FF0000FF"/>
        <rFont val="WenQuanYi Zen Hei"/>
        <family val="2"/>
      </rPr>
      <t xml:space="preserve">變暗過程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完美誤差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0.3
</t>
    </r>
    <r>
      <rPr>
        <sz val="11"/>
        <color rgb="FF0000FF"/>
        <rFont val="WenQuanYi Zen Hei"/>
        <family val="2"/>
      </rPr>
      <t xml:space="preserve">過關誤差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0.6
depth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0.6
</t>
    </r>
    <r>
      <rPr>
        <sz val="11"/>
        <color rgb="FF0000FF"/>
        <rFont val="WenQuanYi Zen Hei"/>
        <family val="2"/>
      </rPr>
      <t xml:space="preserve">超時判定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結果展示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碼錶位置：</t>
    </r>
    <r>
      <rPr>
        <sz val="11"/>
        <color rgb="FF0000FF"/>
        <rFont val="Arial"/>
        <family val="0"/>
        <charset val="1"/>
      </rPr>
      <t xml:space="preserve">[0, -1.2]
</t>
    </r>
    <r>
      <rPr>
        <sz val="11"/>
        <color rgb="FF0000FF"/>
        <rFont val="WenQuanYi Zen Hei"/>
        <family val="2"/>
      </rPr>
      <t xml:space="preserve">玩家距碼錶：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碼錶半徑：</t>
    </r>
    <r>
      <rPr>
        <sz val="11"/>
        <color rgb="FF0000FF"/>
        <rFont val="Arial"/>
        <family val="0"/>
        <charset val="1"/>
      </rPr>
      <t xml:space="preserve">1.75</t>
    </r>
  </si>
  <si>
    <t xml:space="preserve">權重</t>
  </si>
  <si>
    <t xml:space="preserve">效果</t>
  </si>
  <si>
    <t xml:space="preserve">機率</t>
  </si>
  <si>
    <t xml:space="preserve">過關獎勵</t>
  </si>
  <si>
    <r>
      <rPr>
        <sz val="11"/>
        <rFont val="WenQuanYi Zen Hei"/>
        <family val="2"/>
      </rPr>
      <t xml:space="preserve">分數 </t>
    </r>
    <r>
      <rPr>
        <sz val="11"/>
        <rFont val="Arial"/>
        <family val="0"/>
        <charset val="1"/>
      </rPr>
      <t xml:space="preserve">+500</t>
    </r>
  </si>
  <si>
    <r>
      <rPr>
        <sz val="11"/>
        <rFont val="WenQuanYi Zen Hei"/>
        <family val="2"/>
      </rPr>
      <t xml:space="preserve">分數 </t>
    </r>
    <r>
      <rPr>
        <sz val="11"/>
        <rFont val="Arial"/>
        <family val="0"/>
        <charset val="1"/>
      </rPr>
      <t xml:space="preserve">+800</t>
    </r>
  </si>
  <si>
    <t xml:space="preserve">選一張卡</t>
  </si>
  <si>
    <t xml:space="preserve">選一張卡（稀有）</t>
  </si>
  <si>
    <r>
      <rPr>
        <sz val="11"/>
        <rFont val="WenQuanYi Zen Hei"/>
        <family val="2"/>
      </rPr>
      <t xml:space="preserve">回復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生命</t>
    </r>
  </si>
  <si>
    <r>
      <rPr>
        <sz val="11"/>
        <rFont val="WenQuanYi Zen Hei"/>
        <family val="2"/>
      </rPr>
      <t xml:space="preserve">墨水上限 </t>
    </r>
    <r>
      <rPr>
        <sz val="11"/>
        <rFont val="Arial"/>
        <family val="0"/>
        <charset val="1"/>
      </rPr>
      <t xml:space="preserve">+1</t>
    </r>
    <r>
      <rPr>
        <sz val="11"/>
        <rFont val="WenQuanYi Zen Hei"/>
        <family val="2"/>
      </rPr>
      <t xml:space="preserve">、墨水 </t>
    </r>
    <r>
      <rPr>
        <sz val="11"/>
        <rFont val="Arial"/>
        <family val="0"/>
        <charset val="1"/>
      </rPr>
      <t xml:space="preserve">+2</t>
    </r>
  </si>
  <si>
    <r>
      <rPr>
        <sz val="11"/>
        <rFont val="WenQuanYi Zen Hei"/>
        <family val="2"/>
      </rPr>
      <t xml:space="preserve">生命上限 </t>
    </r>
    <r>
      <rPr>
        <sz val="11"/>
        <rFont val="Arial"/>
        <family val="0"/>
        <charset val="1"/>
      </rPr>
      <t xml:space="preserve">+1</t>
    </r>
    <r>
      <rPr>
        <sz val="11"/>
        <rFont val="WenQuanYi Zen Hei"/>
        <family val="2"/>
      </rPr>
      <t xml:space="preserve">、回復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生命</t>
    </r>
  </si>
  <si>
    <r>
      <rPr>
        <sz val="11"/>
        <rFont val="WenQuanYi Zen Hei"/>
        <family val="2"/>
      </rPr>
      <t xml:space="preserve">隨機升級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張卡</t>
    </r>
  </si>
  <si>
    <r>
      <rPr>
        <sz val="11"/>
        <rFont val="WenQuanYi Zen Hei"/>
        <family val="2"/>
      </rPr>
      <t xml:space="preserve">隨機升級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張卡</t>
    </r>
  </si>
  <si>
    <t xml:space="preserve">直接獲得一張普通卡</t>
  </si>
  <si>
    <t xml:space="preserve">直接獲得一張稀有卡</t>
  </si>
  <si>
    <t xml:space="preserve">武器交換（三把選一）</t>
  </si>
  <si>
    <t xml:space="preserve">失敗懲罰</t>
  </si>
  <si>
    <r>
      <rPr>
        <sz val="11"/>
        <rFont val="WenQuanYi Zen Hei"/>
        <family val="2"/>
      </rPr>
      <t xml:space="preserve">失去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生命</t>
    </r>
  </si>
  <si>
    <r>
      <rPr>
        <sz val="11"/>
        <rFont val="WenQuanYi Zen Hei"/>
        <family val="2"/>
      </rPr>
      <t xml:space="preserve">失去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生命</t>
    </r>
  </si>
  <si>
    <r>
      <rPr>
        <sz val="11"/>
        <rFont val="WenQuanYi Zen Hei"/>
        <family val="2"/>
      </rPr>
      <t xml:space="preserve">分數 </t>
    </r>
    <r>
      <rPr>
        <sz val="11"/>
        <rFont val="Arial"/>
        <family val="0"/>
        <charset val="1"/>
      </rPr>
      <t xml:space="preserve">-300</t>
    </r>
  </si>
  <si>
    <r>
      <rPr>
        <sz val="11"/>
        <rFont val="WenQuanYi Zen Hei"/>
        <family val="2"/>
      </rPr>
      <t xml:space="preserve">分數 </t>
    </r>
    <r>
      <rPr>
        <sz val="11"/>
        <rFont val="Arial"/>
        <family val="0"/>
        <charset val="1"/>
      </rPr>
      <t xml:space="preserve">-600</t>
    </r>
  </si>
  <si>
    <t xml:space="preserve">隨機移除一張卡</t>
  </si>
  <si>
    <t xml:space="preserve">隨機一張卡失去升級</t>
  </si>
  <si>
    <t xml:space="preserve">下一場一般戰變精英戰</t>
  </si>
  <si>
    <r>
      <rPr>
        <sz val="11"/>
        <rFont val="WenQuanYi Zen Hei"/>
        <family val="2"/>
      </rPr>
      <t xml:space="preserve">墨水上限 </t>
    </r>
    <r>
      <rPr>
        <sz val="11"/>
        <rFont val="Arial"/>
        <family val="0"/>
        <charset val="1"/>
      </rPr>
      <t xml:space="preserve">-1</t>
    </r>
  </si>
  <si>
    <t xml:space="preserve">觸發伏擊戰</t>
  </si>
  <si>
    <t xml:space="preserve">項目</t>
  </si>
  <si>
    <t xml:space="preserve">說明</t>
  </si>
  <si>
    <t xml:space="preserve">目標／數值</t>
  </si>
  <si>
    <t xml:space="preserve">價格</t>
  </si>
  <si>
    <t xml:space="preserve">快速解鎖顏色</t>
  </si>
  <si>
    <t xml:space="preserve">每個顏色</t>
  </si>
  <si>
    <t xml:space="preserve">快速解鎖配飾</t>
  </si>
  <si>
    <t xml:space="preserve">每個配飾</t>
  </si>
  <si>
    <t xml:space="preserve">提前解鎖武器</t>
  </si>
  <si>
    <t xml:space="preserve">每把武器</t>
  </si>
  <si>
    <t xml:space="preserve">復活</t>
  </si>
  <si>
    <t xml:space="preserve">最少墨點</t>
  </si>
  <si>
    <r>
      <rPr>
        <sz val="11"/>
        <rFont val="WenQuanYi Zen Hei"/>
        <family val="2"/>
      </rPr>
      <t xml:space="preserve">每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墨點＝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</t>
    </r>
  </si>
  <si>
    <t xml:space="preserve">最多墨點</t>
  </si>
  <si>
    <t xml:space="preserve">每局限用一次</t>
  </si>
  <si>
    <t xml:space="preserve">無敵時間（秒）</t>
  </si>
  <si>
    <t xml:space="preserve">復活後</t>
  </si>
  <si>
    <t xml:space="preserve">寶箱</t>
  </si>
  <si>
    <t xml:space="preserve">成就寶箱間隔</t>
  </si>
  <si>
    <t xml:space="preserve">每幾個成就一個寶箱</t>
  </si>
  <si>
    <t xml:space="preserve">成就寶箱內容</t>
  </si>
  <si>
    <t xml:space="preserve">顏色或配飾數量</t>
  </si>
  <si>
    <t xml:space="preserve">配飾機率</t>
  </si>
  <si>
    <t xml:space="preserve">結算寶箱每格抽到配飾的機率（其餘為顏色）</t>
  </si>
  <si>
    <t xml:space="preserve">筆記本：清除頁數</t>
  </si>
  <si>
    <r>
      <rPr>
        <sz val="11"/>
        <rFont val="WenQuanYi Zen Hei"/>
        <family val="2"/>
      </rPr>
      <t xml:space="preserve">達到即 </t>
    </r>
    <r>
      <rPr>
        <sz val="11"/>
        <rFont val="Arial"/>
        <family val="0"/>
        <charset val="1"/>
      </rPr>
      <t xml:space="preserve">+1</t>
    </r>
  </si>
  <si>
    <t xml:space="preserve">筆記本：擊敗頭目</t>
  </si>
  <si>
    <t xml:space="preserve">課表模式：到達頁數</t>
  </si>
  <si>
    <r>
      <rPr>
        <sz val="11"/>
        <rFont val="WenQuanYi Zen Hei"/>
        <family val="2"/>
      </rPr>
      <t xml:space="preserve">每個門檻 </t>
    </r>
    <r>
      <rPr>
        <sz val="11"/>
        <rFont val="Arial"/>
        <family val="0"/>
        <charset val="1"/>
      </rPr>
      <t xml:space="preserve">+1</t>
    </r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</si>
  <si>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、</t>
    </r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、</t>
    </r>
    <r>
      <rPr>
        <sz val="11"/>
        <color rgb="FF0000FF"/>
        <rFont val="Arial"/>
        <family val="0"/>
        <charset val="1"/>
      </rPr>
      <t xml:space="preserve">20</t>
    </r>
  </si>
  <si>
    <t xml:space="preserve">墨點</t>
  </si>
  <si>
    <t xml:space="preserve">寶箱掉落墨點機率</t>
  </si>
  <si>
    <t xml:space="preserve">寶箱每格抽到墨點（其餘為顏色或配飾）</t>
  </si>
  <si>
    <t xml:space="preserve">寶箱墨點數量</t>
  </si>
  <si>
    <t xml:space="preserve">每次抽到墨點的數量（最少～最多）</t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</si>
  <si>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～</t>
    </r>
    <r>
      <rPr>
        <sz val="11"/>
        <color rgb="FF0000FF"/>
        <rFont val="Arial"/>
        <family val="0"/>
        <charset val="1"/>
      </rPr>
      <t xml:space="preserve">3</t>
    </r>
  </si>
  <si>
    <t xml:space="preserve">等級獎勵</t>
  </si>
  <si>
    <r>
      <rPr>
        <sz val="11"/>
        <rFont val="WenQuanYi Zen Hei"/>
        <family val="2"/>
      </rPr>
      <t xml:space="preserve">每升一級 </t>
    </r>
    <r>
      <rPr>
        <sz val="11"/>
        <rFont val="Arial"/>
        <family val="0"/>
        <charset val="1"/>
      </rPr>
      <t xml:space="preserve">+1 </t>
    </r>
    <r>
      <rPr>
        <sz val="11"/>
        <rFont val="WenQuanYi Zen Hei"/>
        <family val="2"/>
      </rPr>
      <t xml:space="preserve">配飾</t>
    </r>
  </si>
  <si>
    <t xml:space="preserve">等級</t>
  </si>
  <si>
    <t xml:space="preserve">最高等級</t>
  </si>
  <si>
    <t xml:space="preserve">等級寶箱間隔</t>
  </si>
  <si>
    <r>
      <rPr>
        <sz val="11"/>
        <rFont val="WenQuanYi Zen Hei"/>
        <family val="2"/>
      </rPr>
      <t xml:space="preserve">每幾級一個等級寶箱（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）</t>
    </r>
  </si>
  <si>
    <t xml:space="preserve">等級寶箱：金幣</t>
  </si>
  <si>
    <t xml:space="preserve">等級寶箱：顏色</t>
  </si>
  <si>
    <t xml:space="preserve">等級寶箱：配飾</t>
  </si>
  <si>
    <t xml:space="preserve">評分</t>
  </si>
  <si>
    <r>
      <rPr>
        <sz val="11"/>
        <rFont val="WenQuanYi Zen Hei"/>
        <family val="2"/>
      </rPr>
      <t xml:space="preserve">筆記本 </t>
    </r>
    <r>
      <rPr>
        <sz val="11"/>
        <rFont val="Arial"/>
        <family val="0"/>
        <charset val="1"/>
      </rPr>
      <t xml:space="preserve">S++</t>
    </r>
  </si>
  <si>
    <r>
      <rPr>
        <sz val="11"/>
        <rFont val="WenQuanYi Zen Hei"/>
        <family val="2"/>
      </rPr>
      <t xml:space="preserve">分數門檻（</t>
    </r>
    <r>
      <rPr>
        <sz val="11"/>
        <rFont val="Arial"/>
        <family val="0"/>
        <charset val="1"/>
      </rPr>
      <t xml:space="preserve">S++ </t>
    </r>
    <r>
      <rPr>
        <sz val="11"/>
        <rFont val="WenQuanYi Zen Hei"/>
        <family val="2"/>
      </rPr>
      <t xml:space="preserve">級結算獎勵 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金幣）</t>
    </r>
  </si>
  <si>
    <r>
      <rPr>
        <sz val="11"/>
        <rFont val="WenQuanYi Zen Hei"/>
        <family val="2"/>
      </rPr>
      <t xml:space="preserve">筆記本 </t>
    </r>
    <r>
      <rPr>
        <sz val="11"/>
        <rFont val="Arial"/>
        <family val="0"/>
        <charset val="1"/>
      </rPr>
      <t xml:space="preserve">S+</t>
    </r>
  </si>
  <si>
    <r>
      <rPr>
        <sz val="11"/>
        <rFont val="WenQuanYi Zen Hei"/>
        <family val="2"/>
      </rPr>
      <t xml:space="preserve">分數門檻（</t>
    </r>
    <r>
      <rPr>
        <sz val="11"/>
        <rFont val="Arial"/>
        <family val="0"/>
        <charset val="1"/>
      </rPr>
      <t xml:space="preserve">S+ </t>
    </r>
    <r>
      <rPr>
        <sz val="11"/>
        <rFont val="WenQuanYi Zen Hei"/>
        <family val="2"/>
      </rPr>
      <t xml:space="preserve">級結算獎勵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金幣）</t>
    </r>
  </si>
  <si>
    <r>
      <rPr>
        <sz val="11"/>
        <rFont val="WenQuanYi Zen Hei"/>
        <family val="2"/>
      </rPr>
      <t xml:space="preserve">筆記本 </t>
    </r>
    <r>
      <rPr>
        <sz val="11"/>
        <rFont val="Arial"/>
        <family val="0"/>
        <charset val="1"/>
      </rPr>
      <t xml:space="preserve">S</t>
    </r>
  </si>
  <si>
    <r>
      <rPr>
        <sz val="11"/>
        <rFont val="WenQuanYi Zen Hei"/>
        <family val="2"/>
      </rPr>
      <t xml:space="preserve">分數門檻（</t>
    </r>
    <r>
      <rPr>
        <sz val="11"/>
        <rFont val="Arial"/>
        <family val="0"/>
        <charset val="1"/>
      </rPr>
      <t xml:space="preserve">S </t>
    </r>
    <r>
      <rPr>
        <sz val="11"/>
        <rFont val="WenQuanYi Zen Hei"/>
        <family val="2"/>
      </rPr>
      <t xml:space="preserve">級結算獎勵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金幣）</t>
    </r>
  </si>
  <si>
    <r>
      <rPr>
        <sz val="11"/>
        <rFont val="WenQuanYi Zen Hei"/>
        <family val="2"/>
      </rPr>
      <t xml:space="preserve">筆記本 </t>
    </r>
    <r>
      <rPr>
        <sz val="11"/>
        <rFont val="Arial"/>
        <family val="0"/>
        <charset val="1"/>
      </rPr>
      <t xml:space="preserve">A</t>
    </r>
  </si>
  <si>
    <r>
      <rPr>
        <sz val="11"/>
        <rFont val="WenQuanYi Zen Hei"/>
        <family val="2"/>
      </rPr>
      <t xml:space="preserve">分數門檻（</t>
    </r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級結算獎勵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金幣）</t>
    </r>
  </si>
  <si>
    <r>
      <rPr>
        <sz val="11"/>
        <rFont val="WenQuanYi Zen Hei"/>
        <family val="2"/>
      </rPr>
      <t xml:space="preserve">筆記本 </t>
    </r>
    <r>
      <rPr>
        <sz val="11"/>
        <rFont val="Arial"/>
        <family val="0"/>
        <charset val="1"/>
      </rPr>
      <t xml:space="preserve">B</t>
    </r>
  </si>
  <si>
    <r>
      <rPr>
        <sz val="11"/>
        <rFont val="WenQuanYi Zen Hei"/>
        <family val="2"/>
      </rPr>
      <t xml:space="preserve">分數門檻（</t>
    </r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級結算獎勵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金幣）</t>
    </r>
  </si>
  <si>
    <r>
      <rPr>
        <sz val="11"/>
        <rFont val="WenQuanYi Zen Hei"/>
        <family val="2"/>
      </rPr>
      <t xml:space="preserve">筆記本 </t>
    </r>
    <r>
      <rPr>
        <sz val="11"/>
        <rFont val="Arial"/>
        <family val="0"/>
        <charset val="1"/>
      </rPr>
      <t xml:space="preserve">C</t>
    </r>
  </si>
  <si>
    <r>
      <rPr>
        <sz val="11"/>
        <rFont val="WenQuanYi Zen Hei"/>
        <family val="2"/>
      </rPr>
      <t xml:space="preserve">分數門檻（</t>
    </r>
    <r>
      <rPr>
        <sz val="11"/>
        <rFont val="Arial"/>
        <family val="0"/>
        <charset val="1"/>
      </rPr>
      <t xml:space="preserve">C </t>
    </r>
    <r>
      <rPr>
        <sz val="11"/>
        <rFont val="WenQuanYi Zen Hei"/>
        <family val="2"/>
      </rPr>
      <t xml:space="preserve">級結算獎勵 </t>
    </r>
    <r>
      <rPr>
        <sz val="11"/>
        <rFont val="Arial"/>
        <family val="0"/>
        <charset val="1"/>
      </rPr>
      <t xml:space="preserve">0 </t>
    </r>
    <r>
      <rPr>
        <sz val="11"/>
        <rFont val="WenQuanYi Zen Hei"/>
        <family val="2"/>
      </rPr>
      <t xml:space="preserve">金幣）</t>
    </r>
  </si>
  <si>
    <r>
      <rPr>
        <sz val="11"/>
        <rFont val="WenQuanYi Zen Hei"/>
        <family val="2"/>
      </rPr>
      <t xml:space="preserve">課表模式 </t>
    </r>
    <r>
      <rPr>
        <sz val="11"/>
        <rFont val="Arial"/>
        <family val="0"/>
        <charset val="1"/>
      </rPr>
      <t xml:space="preserve">S++</t>
    </r>
  </si>
  <si>
    <r>
      <rPr>
        <sz val="11"/>
        <rFont val="WenQuanYi Zen Hei"/>
        <family val="2"/>
      </rPr>
      <t xml:space="preserve">課表模式 </t>
    </r>
    <r>
      <rPr>
        <sz val="11"/>
        <rFont val="Arial"/>
        <family val="0"/>
        <charset val="1"/>
      </rPr>
      <t xml:space="preserve">S+</t>
    </r>
  </si>
  <si>
    <r>
      <rPr>
        <sz val="11"/>
        <rFont val="WenQuanYi Zen Hei"/>
        <family val="2"/>
      </rPr>
      <t xml:space="preserve">課表模式 </t>
    </r>
    <r>
      <rPr>
        <sz val="11"/>
        <rFont val="Arial"/>
        <family val="0"/>
        <charset val="1"/>
      </rPr>
      <t xml:space="preserve">S</t>
    </r>
  </si>
  <si>
    <r>
      <rPr>
        <sz val="11"/>
        <rFont val="WenQuanYi Zen Hei"/>
        <family val="2"/>
      </rPr>
      <t xml:space="preserve">課表模式 </t>
    </r>
    <r>
      <rPr>
        <sz val="11"/>
        <rFont val="Arial"/>
        <family val="0"/>
        <charset val="1"/>
      </rPr>
      <t xml:space="preserve">A</t>
    </r>
  </si>
  <si>
    <r>
      <rPr>
        <sz val="11"/>
        <rFont val="WenQuanYi Zen Hei"/>
        <family val="2"/>
      </rPr>
      <t xml:space="preserve">課表模式 </t>
    </r>
    <r>
      <rPr>
        <sz val="11"/>
        <rFont val="Arial"/>
        <family val="0"/>
        <charset val="1"/>
      </rPr>
      <t xml:space="preserve">B</t>
    </r>
  </si>
  <si>
    <r>
      <rPr>
        <sz val="11"/>
        <rFont val="WenQuanYi Zen Hei"/>
        <family val="2"/>
      </rPr>
      <t xml:space="preserve">課表模式 </t>
    </r>
    <r>
      <rPr>
        <sz val="11"/>
        <rFont val="Arial"/>
        <family val="0"/>
        <charset val="1"/>
      </rPr>
      <t xml:space="preserve">C</t>
    </r>
  </si>
  <si>
    <r>
      <rPr>
        <sz val="11"/>
        <rFont val="WenQuanYi Zen Hei"/>
        <family val="2"/>
      </rPr>
      <t xml:space="preserve">成就（</t>
    </r>
    <r>
      <rPr>
        <sz val="11"/>
        <rFont val="Arial"/>
        <family val="0"/>
        <charset val="1"/>
      </rPr>
      <t xml:space="preserve">+1 </t>
    </r>
    <r>
      <rPr>
        <sz val="11"/>
        <rFont val="WenQuanYi Zen Hei"/>
        <family val="2"/>
      </rPr>
      <t xml:space="preserve">墨點）</t>
    </r>
  </si>
  <si>
    <t xml:space="preserve">擊不可失</t>
  </si>
  <si>
    <r>
      <rPr>
        <sz val="11"/>
        <rFont val="WenQuanYi Zen Hei"/>
        <family val="2"/>
      </rPr>
      <t xml:space="preserve">累計擊倒 </t>
    </r>
    <r>
      <rPr>
        <sz val="11"/>
        <rFont val="Arial"/>
        <family val="0"/>
        <charset val="1"/>
      </rPr>
      <t xml:space="preserve">150 </t>
    </r>
    <r>
      <rPr>
        <sz val="11"/>
        <rFont val="WenQuanYi Zen Hei"/>
        <family val="2"/>
      </rPr>
      <t xml:space="preserve">個敵人</t>
    </r>
  </si>
  <si>
    <r>
      <rPr>
        <sz val="11"/>
        <color rgb="FF0000FF"/>
        <rFont val="Arial"/>
        <family val="0"/>
        <charset val="1"/>
      </rPr>
      <t xml:space="preserve">150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600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1200</t>
    </r>
  </si>
  <si>
    <t xml:space="preserve">精益求精</t>
  </si>
  <si>
    <r>
      <rPr>
        <sz val="11"/>
        <rFont val="WenQuanYi Zen Hei"/>
        <family val="2"/>
      </rPr>
      <t xml:space="preserve">累計擊倒 </t>
    </r>
    <r>
      <rPr>
        <sz val="11"/>
        <rFont val="Arial"/>
        <family val="0"/>
        <charset val="1"/>
      </rPr>
      <t xml:space="preserve">15 </t>
    </r>
    <r>
      <rPr>
        <sz val="11"/>
        <rFont val="WenQuanYi Zen Hei"/>
        <family val="2"/>
      </rPr>
      <t xml:space="preserve">個菁英敵人</t>
    </r>
  </si>
  <si>
    <r>
      <rPr>
        <sz val="11"/>
        <color rgb="FF0000FF"/>
        <rFont val="Arial"/>
        <family val="0"/>
        <charset val="1"/>
      </rPr>
      <t xml:space="preserve">15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40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80</t>
    </r>
  </si>
  <si>
    <t xml:space="preserve">首領退散</t>
  </si>
  <si>
    <t xml:space="preserve">擊敗第一個首領</t>
  </si>
  <si>
    <t xml:space="preserve">1</t>
  </si>
  <si>
    <t xml:space="preserve">首領獵人</t>
  </si>
  <si>
    <r>
      <rPr>
        <sz val="11"/>
        <rFont val="WenQuanYi Zen Hei"/>
        <family val="2"/>
      </rPr>
      <t xml:space="preserve">累計擊敗 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個首領</t>
    </r>
  </si>
  <si>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25</t>
    </r>
  </si>
  <si>
    <t xml:space="preserve">全員到齊</t>
  </si>
  <si>
    <r>
      <rPr>
        <sz val="11"/>
        <rFont val="WenQuanYi Zen Hei"/>
        <family val="2"/>
      </rPr>
      <t xml:space="preserve">擊敗全部 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種首領</t>
    </r>
  </si>
  <si>
    <t xml:space="preserve">6</t>
  </si>
  <si>
    <t xml:space="preserve">瓶安歸來</t>
  </si>
  <si>
    <r>
      <rPr>
        <sz val="11"/>
        <rFont val="WenQuanYi Zen Hei"/>
        <family val="2"/>
      </rPr>
      <t xml:space="preserve">擊敗巨型墨瓶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次</t>
    </r>
  </si>
  <si>
    <r>
      <rPr>
        <sz val="11"/>
        <color rgb="FF0000FF"/>
        <rFont val="Arial"/>
        <family val="0"/>
        <charset val="1"/>
      </rPr>
      <t xml:space="preserve">10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20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30</t>
    </r>
  </si>
  <si>
    <t xml:space="preserve">剪單明瞭</t>
  </si>
  <si>
    <r>
      <rPr>
        <sz val="11"/>
        <rFont val="WenQuanYi Zen Hei"/>
        <family val="2"/>
      </rPr>
      <t xml:space="preserve">擊敗剪刀魔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次</t>
    </r>
  </si>
  <si>
    <t xml:space="preserve">書途同歸</t>
  </si>
  <si>
    <r>
      <rPr>
        <sz val="11"/>
        <rFont val="WenQuanYi Zen Hei"/>
        <family val="2"/>
      </rPr>
      <t xml:space="preserve">擊敗墨跡之書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次</t>
    </r>
  </si>
  <si>
    <t xml:space="preserve">金榜題名</t>
  </si>
  <si>
    <r>
      <rPr>
        <sz val="11"/>
        <rFont val="WenQuanYi Zen Hei"/>
        <family val="2"/>
      </rPr>
      <t xml:space="preserve">擊敗考卷魔王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次</t>
    </r>
  </si>
  <si>
    <t xml:space="preserve">妙筆生花</t>
  </si>
  <si>
    <r>
      <rPr>
        <sz val="11"/>
        <rFont val="WenQuanYi Zen Hei"/>
        <family val="2"/>
      </rPr>
      <t xml:space="preserve">擊敗巨筆暴君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次</t>
    </r>
  </si>
  <si>
    <t xml:space="preserve">鐘於解脫</t>
  </si>
  <si>
    <r>
      <rPr>
        <sz val="11"/>
        <rFont val="WenQuanYi Zen Hei"/>
        <family val="2"/>
      </rPr>
      <t xml:space="preserve">擊敗大鬧鐘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次</t>
    </r>
  </si>
  <si>
    <t xml:space="preserve">精打細算</t>
  </si>
  <si>
    <r>
      <rPr>
        <sz val="11"/>
        <rFont val="WenQuanYi Zen Hei"/>
        <family val="2"/>
      </rPr>
      <t xml:space="preserve">擊敗加減法官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次</t>
    </r>
  </si>
  <si>
    <t xml:space="preserve">目中無人</t>
  </si>
  <si>
    <t xml:space="preserve">無傷擊敗一個首領</t>
  </si>
  <si>
    <t xml:space="preserve">無傷大雅</t>
  </si>
  <si>
    <r>
      <rPr>
        <sz val="11"/>
        <rFont val="WenQuanYi Zen Hei"/>
        <family val="2"/>
      </rPr>
      <t xml:space="preserve">無傷清除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頁戰鬥</t>
    </r>
  </si>
  <si>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30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60</t>
    </r>
  </si>
  <si>
    <t xml:space="preserve">千鈞一髮</t>
  </si>
  <si>
    <r>
      <rPr>
        <sz val="11"/>
        <rFont val="WenQuanYi Zen Hei"/>
        <family val="2"/>
      </rPr>
      <t xml:space="preserve">只剩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點生命時清除一頁</t>
    </r>
  </si>
  <si>
    <t xml:space="preserve">閃亮登場</t>
  </si>
  <si>
    <r>
      <rPr>
        <sz val="11"/>
        <rFont val="WenQuanYi Zen Hei"/>
        <family val="2"/>
      </rPr>
      <t xml:space="preserve">衝刺閃過攻擊 </t>
    </r>
    <r>
      <rPr>
        <sz val="11"/>
        <rFont val="Arial"/>
        <family val="0"/>
        <charset val="1"/>
      </rPr>
      <t xml:space="preserve">20 </t>
    </r>
    <r>
      <rPr>
        <sz val="11"/>
        <rFont val="WenQuanYi Zen Hei"/>
        <family val="2"/>
      </rPr>
      <t xml:space="preserve">次</t>
    </r>
  </si>
  <si>
    <r>
      <rPr>
        <sz val="11"/>
        <color rgb="FF0000FF"/>
        <rFont val="Arial"/>
        <family val="0"/>
        <charset val="1"/>
      </rPr>
      <t xml:space="preserve">20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80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150</t>
    </r>
  </si>
  <si>
    <t xml:space="preserve">閃身步</t>
  </si>
  <si>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秒內成功衝刺閃過攻擊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次</t>
    </r>
  </si>
  <si>
    <t xml:space="preserve">4</t>
  </si>
  <si>
    <t xml:space="preserve">一支穿雲劍</t>
  </si>
  <si>
    <r>
      <rPr>
        <sz val="11"/>
        <rFont val="WenQuanYi Zen Hei"/>
        <family val="2"/>
      </rPr>
      <t xml:space="preserve">用穿透筆一發同時穿過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個敵人</t>
    </r>
  </si>
  <si>
    <t xml:space="preserve">3</t>
  </si>
  <si>
    <t xml:space="preserve">易燃易爆炸</t>
  </si>
  <si>
    <r>
      <rPr>
        <sz val="11"/>
        <rFont val="WenQuanYi Zen Hei"/>
        <family val="2"/>
      </rPr>
      <t xml:space="preserve">累計打破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個油桶</t>
    </r>
  </si>
  <si>
    <r>
      <rPr>
        <sz val="11"/>
        <color rgb="FF0000FF"/>
        <rFont val="Arial"/>
        <family val="0"/>
        <charset val="1"/>
      </rPr>
      <t xml:space="preserve">40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80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120</t>
    </r>
  </si>
  <si>
    <t xml:space="preserve">箱當然耳</t>
  </si>
  <si>
    <r>
      <rPr>
        <sz val="11"/>
        <rFont val="WenQuanYi Zen Hei"/>
        <family val="2"/>
      </rPr>
      <t xml:space="preserve">累計打破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個箱子</t>
    </r>
  </si>
  <si>
    <t xml:space="preserve">桶歸於盡</t>
  </si>
  <si>
    <t xml:space="preserve">被油桶炸死一次</t>
  </si>
  <si>
    <t xml:space="preserve">暈籌帷幄</t>
  </si>
  <si>
    <r>
      <rPr>
        <sz val="11"/>
        <rFont val="WenQuanYi Zen Hei"/>
        <family val="2"/>
      </rPr>
      <t xml:space="preserve">移動或瞄準方向連續轉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圈（左右搖桿都可以，中間可停一下）</t>
    </r>
  </si>
  <si>
    <t xml:space="preserve">10</t>
  </si>
  <si>
    <t xml:space="preserve">牌山倒海</t>
  </si>
  <si>
    <r>
      <rPr>
        <sz val="11"/>
        <rFont val="WenQuanYi Zen Hei"/>
        <family val="2"/>
      </rPr>
      <t xml:space="preserve">累計使用 </t>
    </r>
    <r>
      <rPr>
        <sz val="11"/>
        <rFont val="Arial"/>
        <family val="0"/>
        <charset val="1"/>
      </rPr>
      <t xml:space="preserve">250 </t>
    </r>
    <r>
      <rPr>
        <sz val="11"/>
        <rFont val="WenQuanYi Zen Hei"/>
        <family val="2"/>
      </rPr>
      <t xml:space="preserve">張卡牌</t>
    </r>
  </si>
  <si>
    <r>
      <rPr>
        <sz val="11"/>
        <color rgb="FF0000FF"/>
        <rFont val="Arial"/>
        <family val="0"/>
        <charset val="1"/>
      </rPr>
      <t xml:space="preserve">250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600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1200</t>
    </r>
  </si>
  <si>
    <t xml:space="preserve">合而為一</t>
  </si>
  <si>
    <r>
      <rPr>
        <sz val="11"/>
        <rFont val="WenQuanYi Zen Hei"/>
        <family val="2"/>
      </rPr>
      <t xml:space="preserve">合成升級卡牌 </t>
    </r>
    <r>
      <rPr>
        <sz val="11"/>
        <rFont val="Arial"/>
        <family val="0"/>
        <charset val="1"/>
      </rPr>
      <t xml:space="preserve">25 </t>
    </r>
    <r>
      <rPr>
        <sz val="11"/>
        <rFont val="WenQuanYi Zen Hei"/>
        <family val="2"/>
      </rPr>
      <t xml:space="preserve">次</t>
    </r>
  </si>
  <si>
    <r>
      <rPr>
        <sz val="11"/>
        <color rgb="FF0000FF"/>
        <rFont val="Arial"/>
        <family val="0"/>
        <charset val="1"/>
      </rPr>
      <t xml:space="preserve">25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50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100</t>
    </r>
  </si>
  <si>
    <t xml:space="preserve">招搖過市</t>
  </si>
  <si>
    <r>
      <rPr>
        <sz val="11"/>
        <rFont val="WenQuanYi Zen Hei"/>
        <family val="2"/>
      </rPr>
      <t xml:space="preserve">累計施放 </t>
    </r>
    <r>
      <rPr>
        <sz val="11"/>
        <rFont val="Arial"/>
        <family val="0"/>
        <charset val="1"/>
      </rPr>
      <t xml:space="preserve">60 </t>
    </r>
    <r>
      <rPr>
        <sz val="11"/>
        <rFont val="WenQuanYi Zen Hei"/>
        <family val="2"/>
      </rPr>
      <t xml:space="preserve">次特殊卡</t>
    </r>
  </si>
  <si>
    <r>
      <rPr>
        <sz val="11"/>
        <color rgb="FF0000FF"/>
        <rFont val="Arial"/>
        <family val="0"/>
        <charset val="1"/>
      </rPr>
      <t xml:space="preserve">60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120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250</t>
    </r>
  </si>
  <si>
    <t xml:space="preserve">第一頁</t>
  </si>
  <si>
    <t xml:space="preserve">完成第一局冒險（筆記本或課表）</t>
  </si>
  <si>
    <t xml:space="preserve">翻頁不停</t>
  </si>
  <si>
    <r>
      <rPr>
        <sz val="11"/>
        <rFont val="WenQuanYi Zen Hei"/>
        <family val="2"/>
      </rPr>
      <t xml:space="preserve">累計清除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頁戰鬥</t>
    </r>
  </si>
  <si>
    <t xml:space="preserve">寫完了！</t>
  </si>
  <si>
    <r>
      <rPr>
        <sz val="11"/>
        <rFont val="WenQuanYi Zen Hei"/>
        <family val="2"/>
      </rPr>
      <t xml:space="preserve">完成整本筆記本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次</t>
    </r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</si>
  <si>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6</t>
    </r>
  </si>
  <si>
    <t xml:space="preserve">課不容緩</t>
  </si>
  <si>
    <r>
      <rPr>
        <sz val="11"/>
        <rFont val="WenQuanYi Zen Hei"/>
        <family val="2"/>
      </rPr>
      <t xml:space="preserve">課表模式抵達第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頁</t>
    </r>
  </si>
  <si>
    <r>
      <rPr>
        <sz val="11"/>
        <color rgb="FF0000FF"/>
        <rFont val="Arial"/>
        <family val="0"/>
        <charset val="1"/>
      </rPr>
      <t xml:space="preserve">10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25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40</t>
    </r>
  </si>
  <si>
    <t xml:space="preserve">遊刃有餘</t>
  </si>
  <si>
    <r>
      <rPr>
        <sz val="11"/>
        <rFont val="WenQuanYi Zen Hei"/>
        <family val="2"/>
      </rPr>
      <t xml:space="preserve">贏得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場事件小遊戲</t>
    </r>
  </si>
  <si>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25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40</t>
    </r>
  </si>
  <si>
    <t xml:space="preserve">買力十足</t>
  </si>
  <si>
    <r>
      <rPr>
        <sz val="11"/>
        <rFont val="WenQuanYi Zen Hei"/>
        <family val="2"/>
      </rPr>
      <t xml:space="preserve">在商店購買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次</t>
    </r>
  </si>
  <si>
    <t xml:space="preserve">小有名氣</t>
  </si>
  <si>
    <r>
      <rPr>
        <sz val="11"/>
        <rFont val="WenQuanYi Zen Hei"/>
        <family val="2"/>
      </rPr>
      <t xml:space="preserve">達到等級 </t>
    </r>
    <r>
      <rPr>
        <sz val="11"/>
        <rFont val="Arial"/>
        <family val="0"/>
        <charset val="1"/>
      </rPr>
      <t xml:space="preserve">5</t>
    </r>
  </si>
  <si>
    <t xml:space="preserve">5</t>
  </si>
  <si>
    <t xml:space="preserve">「十」分完美</t>
  </si>
  <si>
    <r>
      <rPr>
        <sz val="11"/>
        <rFont val="WenQuanYi Zen Hei"/>
        <family val="2"/>
      </rPr>
      <t xml:space="preserve">達到等級 </t>
    </r>
    <r>
      <rPr>
        <sz val="11"/>
        <rFont val="Arial"/>
        <family val="0"/>
        <charset val="1"/>
      </rPr>
      <t xml:space="preserve">10</t>
    </r>
  </si>
  <si>
    <t xml:space="preserve">墨跡未乾</t>
  </si>
  <si>
    <t xml:space="preserve">用金幣復活一次</t>
  </si>
  <si>
    <t xml:space="preserve">衣見鍾情</t>
  </si>
  <si>
    <r>
      <rPr>
        <sz val="11"/>
        <rFont val="WenQuanYi Zen Hei"/>
        <family val="2"/>
      </rPr>
      <t xml:space="preserve">儲存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套自訂套組</t>
    </r>
  </si>
  <si>
    <t xml:space="preserve">2</t>
  </si>
  <si>
    <t xml:space="preserve">衣衣不捨</t>
  </si>
  <si>
    <r>
      <rPr>
        <sz val="11"/>
        <rFont val="WenQuanYi Zen Hei"/>
        <family val="2"/>
      </rPr>
      <t xml:space="preserve">收集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個新顏色或配飾</t>
    </r>
  </si>
  <si>
    <r>
      <rPr>
        <sz val="11"/>
        <color rgb="FF0000FF"/>
        <rFont val="Arial"/>
        <family val="0"/>
        <charset val="1"/>
      </rPr>
      <t xml:space="preserve">10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25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50</t>
    </r>
  </si>
  <si>
    <t xml:space="preserve">文具控</t>
  </si>
  <si>
    <r>
      <rPr>
        <sz val="11"/>
        <rFont val="WenQuanYi Zen Hei"/>
        <family val="2"/>
      </rPr>
      <t xml:space="preserve">用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種不同武器完成冒險</t>
    </r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</si>
  <si>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7</t>
    </r>
  </si>
  <si>
    <t xml:space="preserve">扭轉乾坤</t>
  </si>
  <si>
    <r>
      <rPr>
        <sz val="11"/>
        <rFont val="WenQuanYi Zen Hei"/>
        <family val="2"/>
      </rPr>
      <t xml:space="preserve">用遺物扭蛋機抽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次</t>
    </r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</si>
  <si>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10</t>
    </r>
  </si>
  <si>
    <t xml:space="preserve">蛋定蛋定</t>
  </si>
  <si>
    <t xml:space="preserve">抽扭蛋把金幣花到一枚不剩</t>
  </si>
  <si>
    <t xml:space="preserve">遺物所有</t>
  </si>
  <si>
    <r>
      <rPr>
        <sz val="11"/>
        <rFont val="WenQuanYi Zen Hei"/>
        <family val="2"/>
      </rPr>
      <t xml:space="preserve">解鎖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件遺物</t>
    </r>
  </si>
  <si>
    <r>
      <rPr>
        <sz val="11"/>
        <color rgb="FF0000FF"/>
        <rFont val="Arial"/>
        <family val="0"/>
        <charset val="1"/>
      </rPr>
      <t xml:space="preserve">8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15</t>
    </r>
    <r>
      <rPr>
        <sz val="11"/>
        <color rgb="FF0000FF"/>
        <rFont val="WenQuanYi Zen Hei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22</t>
    </r>
  </si>
  <si>
    <t xml:space="preserve">鑑多識廣</t>
  </si>
  <si>
    <r>
      <rPr>
        <sz val="11"/>
        <rFont val="WenQuanYi Zen Hei"/>
        <family val="2"/>
      </rPr>
      <t xml:space="preserve">在圖鑑中遇見全部 </t>
    </r>
    <r>
      <rPr>
        <sz val="11"/>
        <rFont val="Arial"/>
        <family val="0"/>
        <charset val="1"/>
      </rPr>
      <t xml:space="preserve">14 </t>
    </r>
    <r>
      <rPr>
        <sz val="11"/>
        <rFont val="WenQuanYi Zen Hei"/>
        <family val="2"/>
      </rPr>
      <t xml:space="preserve">種敵人</t>
    </r>
  </si>
  <si>
    <t xml:space="preserve">14</t>
  </si>
  <si>
    <t xml:space="preserve">遺物</t>
  </si>
  <si>
    <t xml:space="preserve">初始解鎖</t>
  </si>
  <si>
    <t xml:space="preserve">扭蛋價格（金幣）</t>
  </si>
  <si>
    <t xml:space="preserve">參數</t>
  </si>
  <si>
    <t xml:space="preserve">備用筆芯</t>
  </si>
  <si>
    <r>
      <rPr>
        <sz val="11"/>
        <rFont val="WenQuanYi Zen Hei"/>
        <family val="2"/>
      </rPr>
      <t xml:space="preserve">依武器增加彈匣容量：鋼筆 </t>
    </r>
    <r>
      <rPr>
        <sz val="11"/>
        <rFont val="Arial"/>
        <family val="0"/>
        <charset val="1"/>
      </rPr>
      <t xml:space="preserve">+2</t>
    </r>
    <r>
      <rPr>
        <sz val="11"/>
        <rFont val="WenQuanYi Zen Hei"/>
        <family val="2"/>
      </rPr>
      <t xml:space="preserve">、鉛筆 </t>
    </r>
    <r>
      <rPr>
        <sz val="11"/>
        <rFont val="Arial"/>
        <family val="0"/>
        <charset val="1"/>
      </rPr>
      <t xml:space="preserve">+4</t>
    </r>
    <r>
      <rPr>
        <sz val="11"/>
        <rFont val="WenQuanYi Zen Hei"/>
        <family val="2"/>
      </rPr>
      <t xml:space="preserve">、毛筆 </t>
    </r>
    <r>
      <rPr>
        <sz val="11"/>
        <rFont val="Arial"/>
        <family val="0"/>
        <charset val="1"/>
      </rPr>
      <t xml:space="preserve">+1</t>
    </r>
    <r>
      <rPr>
        <sz val="11"/>
        <rFont val="WenQuanYi Zen Hei"/>
        <family val="2"/>
      </rPr>
      <t xml:space="preserve">、釘書機 </t>
    </r>
    <r>
      <rPr>
        <sz val="11"/>
        <rFont val="Arial"/>
        <family val="0"/>
        <charset val="1"/>
      </rPr>
      <t xml:space="preserve">+3</t>
    </r>
    <r>
      <rPr>
        <sz val="11"/>
        <rFont val="WenQuanYi Zen Hei"/>
        <family val="2"/>
      </rPr>
      <t xml:space="preserve">、螢光筆 </t>
    </r>
    <r>
      <rPr>
        <sz val="11"/>
        <rFont val="Arial"/>
        <family val="0"/>
        <charset val="1"/>
      </rPr>
      <t xml:space="preserve">+4</t>
    </r>
    <r>
      <rPr>
        <sz val="11"/>
        <rFont val="WenQuanYi Zen Hei"/>
        <family val="2"/>
      </rPr>
      <t xml:space="preserve">、彩色筆 </t>
    </r>
    <r>
      <rPr>
        <sz val="11"/>
        <rFont val="Arial"/>
        <family val="0"/>
        <charset val="1"/>
      </rPr>
      <t xml:space="preserve">+3</t>
    </r>
    <r>
      <rPr>
        <sz val="11"/>
        <rFont val="WenQuanYi Zen Hei"/>
        <family val="2"/>
      </rPr>
      <t xml:space="preserve">（圓規沒有彈匣，不受影響）。</t>
    </r>
  </si>
  <si>
    <t xml:space="preserve">★</t>
  </si>
  <si>
    <r>
      <rPr>
        <sz val="11"/>
        <rFont val="Arial"/>
        <family val="0"/>
        <charset val="1"/>
      </rPr>
      <t xml:space="preserve">pen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pencil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4
brush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
stapler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highlighter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4
crayon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</t>
    </r>
  </si>
  <si>
    <r>
      <rPr>
        <sz val="11"/>
        <rFont val="WenQuanYi Zen Hei"/>
        <family val="2"/>
      </rPr>
      <t xml:space="preserve">換彈時間縮短 </t>
    </r>
    <r>
      <rPr>
        <sz val="11"/>
        <rFont val="Arial"/>
        <family val="0"/>
        <charset val="1"/>
      </rPr>
      <t xml:space="preserve">10%</t>
    </r>
    <r>
      <rPr>
        <sz val="11"/>
        <rFont val="WenQuanYi Zen Hei"/>
        <family val="2"/>
      </rPr>
      <t xml:space="preserve">。</t>
    </r>
  </si>
  <si>
    <r>
      <rPr>
        <sz val="11"/>
        <rFont val="Arial"/>
        <family val="0"/>
        <charset val="1"/>
      </rPr>
      <t xml:space="preserve">reload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0.9
charge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0.9</t>
    </r>
  </si>
  <si>
    <t xml:space="preserve">小墨水瓶</t>
  </si>
  <si>
    <r>
      <rPr>
        <sz val="11"/>
        <rFont val="WenQuanYi Zen Hei"/>
        <family val="2"/>
      </rPr>
      <t xml:space="preserve">每進入新的一頁，如果墨水不到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點，直接補到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點。</t>
    </r>
  </si>
  <si>
    <r>
      <rPr>
        <sz val="11"/>
        <rFont val="Arial"/>
        <family val="0"/>
        <charset val="1"/>
      </rPr>
      <t xml:space="preserve">min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</t>
    </r>
  </si>
  <si>
    <t xml:space="preserve">止血貼</t>
  </si>
  <si>
    <r>
      <rPr>
        <sz val="11"/>
        <rFont val="WenQuanYi Zen Hei"/>
        <family val="2"/>
      </rPr>
      <t xml:space="preserve">受傷後的無敵時間延長 </t>
    </r>
    <r>
      <rPr>
        <sz val="11"/>
        <rFont val="Arial"/>
        <family val="0"/>
        <charset val="1"/>
      </rPr>
      <t xml:space="preserve">0.3 </t>
    </r>
    <r>
      <rPr>
        <sz val="11"/>
        <rFont val="WenQuanYi Zen Hei"/>
        <family val="2"/>
      </rPr>
      <t xml:space="preserve">秒。</t>
    </r>
  </si>
  <si>
    <r>
      <rPr>
        <sz val="11"/>
        <rFont val="Arial"/>
        <family val="0"/>
        <charset val="1"/>
      </rPr>
      <t xml:space="preserve">invuln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</t>
    </r>
  </si>
  <si>
    <t xml:space="preserve">立可白</t>
  </si>
  <si>
    <t xml:space="preserve">每一頁（每個房間）第一次受到傷害時，完全抵銷這次傷害。</t>
  </si>
  <si>
    <r>
      <rPr>
        <sz val="11"/>
        <rFont val="Arial"/>
        <family val="0"/>
        <charset val="1"/>
      </rPr>
      <t xml:space="preserve">guards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
invuln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0.35</t>
    </r>
  </si>
  <si>
    <t xml:space="preserve">急救貼布</t>
  </si>
  <si>
    <r>
      <rPr>
        <sz val="11"/>
        <rFont val="WenQuanYi Zen Hei"/>
        <family val="2"/>
      </rPr>
      <t xml:space="preserve">每通關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頁，回復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點生命。</t>
    </r>
  </si>
  <si>
    <r>
      <rPr>
        <sz val="11"/>
        <rFont val="WenQuanYi Zen Hei"/>
        <family val="2"/>
      </rPr>
      <t xml:space="preserve">回復：</t>
    </r>
    <r>
      <rPr>
        <sz val="11"/>
        <rFont val="Arial"/>
        <family val="0"/>
        <charset val="1"/>
      </rPr>
      <t xml:space="preserve">1
</t>
    </r>
    <r>
      <rPr>
        <sz val="11"/>
        <rFont val="WenQuanYi Zen Hei"/>
        <family val="2"/>
      </rPr>
      <t xml:space="preserve">間隔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秒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4</t>
    </r>
  </si>
  <si>
    <t xml:space="preserve">運動鞋</t>
  </si>
  <si>
    <r>
      <rPr>
        <sz val="11"/>
        <rFont val="WenQuanYi Zen Hei"/>
        <family val="2"/>
      </rPr>
      <t xml:space="preserve">閃避的無敵時間延長 </t>
    </r>
    <r>
      <rPr>
        <sz val="11"/>
        <rFont val="Arial"/>
        <family val="0"/>
        <charset val="1"/>
      </rPr>
      <t xml:space="preserve">0.2 </t>
    </r>
    <r>
      <rPr>
        <sz val="11"/>
        <rFont val="WenQuanYi Zen Hei"/>
        <family val="2"/>
      </rPr>
      <t xml:space="preserve">秒。</t>
    </r>
  </si>
  <si>
    <r>
      <rPr>
        <sz val="11"/>
        <rFont val="Arial"/>
        <family val="0"/>
        <charset val="1"/>
      </rPr>
      <t xml:space="preserve">iframe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0.2</t>
    </r>
  </si>
  <si>
    <t xml:space="preserve">輕羽毛</t>
  </si>
  <si>
    <r>
      <rPr>
        <sz val="11"/>
        <rFont val="WenQuanYi Zen Hei"/>
        <family val="2"/>
      </rPr>
      <t xml:space="preserve">移動速度提升 </t>
    </r>
    <r>
      <rPr>
        <sz val="11"/>
        <rFont val="Arial"/>
        <family val="0"/>
        <charset val="1"/>
      </rPr>
      <t xml:space="preserve">6%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</si>
  <si>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速度：</t>
    </r>
    <r>
      <rPr>
        <sz val="11"/>
        <rFont val="Arial"/>
        <family val="0"/>
        <charset val="1"/>
      </rPr>
      <t xml:space="preserve">1.06</t>
    </r>
  </si>
  <si>
    <t xml:space="preserve">橡皮屑</t>
  </si>
  <si>
    <r>
      <rPr>
        <sz val="11"/>
        <rFont val="WenQuanYi Zen Hei"/>
        <family val="2"/>
      </rPr>
      <t xml:space="preserve">每擊倒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隻敵人（小墨團不算）獲得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點墨水，計數會跨頁累積。</t>
    </r>
  </si>
  <si>
    <r>
      <rPr>
        <sz val="11"/>
        <rFont val="WenQuanYi Zen Hei"/>
        <family val="2"/>
      </rPr>
      <t xml:space="preserve">間隔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秒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12
</t>
    </r>
    <r>
      <rPr>
        <sz val="11"/>
        <rFont val="WenQuanYi Zen Hei"/>
        <family val="2"/>
      </rPr>
      <t xml:space="preserve">墨水：</t>
    </r>
    <r>
      <rPr>
        <sz val="11"/>
        <rFont val="Arial"/>
        <family val="0"/>
        <charset val="1"/>
      </rPr>
      <t xml:space="preserve">1</t>
    </r>
  </si>
  <si>
    <t xml:space="preserve">捲筆刀</t>
  </si>
  <si>
    <r>
      <rPr>
        <sz val="11"/>
        <rFont val="WenQuanYi Zen Hei"/>
        <family val="2"/>
      </rPr>
      <t xml:space="preserve">離目標 </t>
    </r>
    <r>
      <rPr>
        <sz val="11"/>
        <rFont val="Arial"/>
        <family val="0"/>
        <charset val="1"/>
      </rPr>
      <t xml:space="preserve">1.5 </t>
    </r>
    <r>
      <rPr>
        <sz val="11"/>
        <rFont val="WenQuanYi Zen Hei"/>
        <family val="2"/>
      </rPr>
      <t xml:space="preserve">公尺內時，武器傷害提升 </t>
    </r>
    <r>
      <rPr>
        <sz val="11"/>
        <rFont val="Arial"/>
        <family val="0"/>
        <charset val="1"/>
      </rPr>
      <t xml:space="preserve">20%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</si>
  <si>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距離：</t>
    </r>
    <r>
      <rPr>
        <sz val="11"/>
        <rFont val="Arial"/>
        <family val="0"/>
        <charset val="1"/>
      </rPr>
      <t xml:space="preserve">3
</t>
    </r>
    <r>
      <rPr>
        <sz val="11"/>
        <rFont val="WenQuanYi Zen Hei"/>
        <family val="2"/>
      </rPr>
      <t xml:space="preserve">倍率：</t>
    </r>
    <r>
      <rPr>
        <sz val="11"/>
        <rFont val="Arial"/>
        <family val="0"/>
        <charset val="1"/>
      </rPr>
      <t xml:space="preserve">1.2</t>
    </r>
  </si>
  <si>
    <t xml:space="preserve">眼鏡</t>
  </si>
  <si>
    <r>
      <rPr>
        <sz val="11"/>
        <rFont val="WenQuanYi Zen Hei"/>
        <family val="2"/>
      </rPr>
      <t xml:space="preserve">敵人與頭目攻擊前的紅色預警圈、預警線持續時間延長 </t>
    </r>
    <r>
      <rPr>
        <sz val="11"/>
        <rFont val="Arial"/>
        <family val="0"/>
        <charset val="1"/>
      </rPr>
      <t xml:space="preserve">25%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</si>
  <si>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減速：</t>
    </r>
    <r>
      <rPr>
        <sz val="11"/>
        <rFont val="Arial"/>
        <family val="0"/>
        <charset val="1"/>
      </rPr>
      <t xml:space="preserve">1.25</t>
    </r>
  </si>
  <si>
    <t xml:space="preserve">折價券</t>
  </si>
  <si>
    <r>
      <rPr>
        <sz val="11"/>
        <rFont val="WenQuanYi Zen Hei"/>
        <family val="2"/>
      </rPr>
      <t xml:space="preserve">商店所有商品價格降低 </t>
    </r>
    <r>
      <rPr>
        <sz val="11"/>
        <rFont val="Arial"/>
        <family val="0"/>
        <charset val="1"/>
      </rPr>
      <t xml:space="preserve">15%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</si>
  <si>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倍率：</t>
    </r>
    <r>
      <rPr>
        <sz val="11"/>
        <rFont val="Arial"/>
        <family val="0"/>
        <charset val="1"/>
      </rPr>
      <t xml:space="preserve">0.85</t>
    </r>
  </si>
  <si>
    <t xml:space="preserve">完美節拍</t>
  </si>
  <si>
    <r>
      <rPr>
        <sz val="11"/>
        <rFont val="WenQuanYi Zen Hei"/>
        <family val="2"/>
      </rPr>
      <t xml:space="preserve">完美閃避後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秒內，射速提升 </t>
    </r>
    <r>
      <rPr>
        <sz val="11"/>
        <rFont val="Arial"/>
        <family val="0"/>
        <charset val="1"/>
      </rPr>
      <t xml:space="preserve">12%</t>
    </r>
    <r>
      <rPr>
        <sz val="11"/>
        <rFont val="WenQuanYi Zen Hei"/>
        <family val="2"/>
      </rPr>
      <t xml:space="preserve">。</t>
    </r>
  </si>
  <si>
    <r>
      <rPr>
        <sz val="11"/>
        <rFont val="Arial"/>
        <family val="0"/>
        <charset val="1"/>
      </rPr>
      <t xml:space="preserve">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rate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1.12</t>
    </r>
  </si>
  <si>
    <t xml:space="preserve">紅墨水契約</t>
  </si>
  <si>
    <r>
      <rPr>
        <sz val="11"/>
        <rFont val="WenQuanYi Zen Hei"/>
        <family val="2"/>
      </rPr>
      <t xml:space="preserve">生命上限 </t>
    </r>
    <r>
      <rPr>
        <sz val="11"/>
        <rFont val="Arial"/>
        <family val="0"/>
        <charset val="1"/>
      </rPr>
      <t xml:space="preserve">-2</t>
    </r>
    <r>
      <rPr>
        <sz val="11"/>
        <rFont val="WenQuanYi Zen Hei"/>
        <family val="2"/>
      </rPr>
      <t xml:space="preserve">，但武器與卡牌傷害提升 </t>
    </r>
    <r>
      <rPr>
        <sz val="11"/>
        <rFont val="Arial"/>
        <family val="0"/>
        <charset val="1"/>
      </rPr>
      <t xml:space="preserve">20%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</si>
  <si>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耐久：</t>
    </r>
    <r>
      <rPr>
        <sz val="11"/>
        <rFont val="Arial"/>
        <family val="0"/>
        <charset val="1"/>
      </rPr>
      <t xml:space="preserve">-2
</t>
    </r>
    <r>
      <rPr>
        <sz val="11"/>
        <rFont val="WenQuanYi Zen Hei"/>
        <family val="2"/>
      </rPr>
      <t xml:space="preserve">倍率：</t>
    </r>
    <r>
      <rPr>
        <sz val="11"/>
        <rFont val="Arial"/>
        <family val="0"/>
        <charset val="1"/>
      </rPr>
      <t xml:space="preserve">1.2</t>
    </r>
  </si>
  <si>
    <t xml:space="preserve">複寫紙</t>
  </si>
  <si>
    <r>
      <rPr>
        <sz val="11"/>
        <rFont val="WenQuanYi Zen Hei"/>
        <family val="2"/>
      </rPr>
      <t xml:space="preserve">每使用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張一般卡（大招不算），下一張一般卡免費。</t>
    </r>
  </si>
  <si>
    <r>
      <rPr>
        <sz val="11"/>
        <rFont val="WenQuanYi Zen Hei"/>
        <family val="2"/>
      </rPr>
      <t xml:space="preserve">間隔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秒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</t>
    </r>
  </si>
  <si>
    <t xml:space="preserve">浴血重生</t>
  </si>
  <si>
    <r>
      <rPr>
        <sz val="11"/>
        <rFont val="WenQuanYi Zen Hei"/>
        <family val="2"/>
      </rPr>
      <t xml:space="preserve">生命歸零時以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點生命復活，並獲得 </t>
    </r>
    <r>
      <rPr>
        <sz val="11"/>
        <rFont val="Arial"/>
        <family val="0"/>
        <charset val="1"/>
      </rPr>
      <t xml:space="preserve">2.5 </t>
    </r>
    <r>
      <rPr>
        <sz val="11"/>
        <rFont val="WenQuanYi Zen Hei"/>
        <family val="2"/>
      </rPr>
      <t xml:space="preserve">秒無敵。每局一次，和金幣復活分開計算。</t>
    </r>
  </si>
  <si>
    <r>
      <rPr>
        <sz val="11"/>
        <rFont val="WenQuanYi Zen Hei"/>
        <family val="2"/>
      </rPr>
      <t xml:space="preserve">耐久：</t>
    </r>
    <r>
      <rPr>
        <sz val="11"/>
        <rFont val="Arial"/>
        <family val="0"/>
        <charset val="1"/>
      </rPr>
      <t xml:space="preserve">2
invuln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2.5</t>
    </r>
  </si>
  <si>
    <t xml:space="preserve">大墨水瓶</t>
  </si>
  <si>
    <r>
      <rPr>
        <sz val="11"/>
        <rFont val="WenQuanYi Zen Hei"/>
        <family val="2"/>
      </rPr>
      <t xml:space="preserve">墨水上限 </t>
    </r>
    <r>
      <rPr>
        <sz val="11"/>
        <rFont val="Arial"/>
        <family val="0"/>
        <charset val="1"/>
      </rPr>
      <t xml:space="preserve">+2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</si>
  <si>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墨水：</t>
    </r>
    <r>
      <rPr>
        <sz val="11"/>
        <rFont val="Arial"/>
        <family val="0"/>
        <charset val="1"/>
      </rPr>
      <t xml:space="preserve">2</t>
    </r>
  </si>
  <si>
    <t xml:space="preserve">墨水滴漏</t>
  </si>
  <si>
    <r>
      <rPr>
        <sz val="11"/>
        <rFont val="WenQuanYi Zen Hei"/>
        <family val="2"/>
      </rPr>
      <t xml:space="preserve">戰鬥中每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秒獲得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點墨水（暫停與大招動畫時不計時）。</t>
    </r>
  </si>
  <si>
    <t xml:space="preserve">護身紙</t>
  </si>
  <si>
    <r>
      <rPr>
        <sz val="11"/>
        <rFont val="WenQuanYi Zen Hei"/>
        <family val="2"/>
      </rPr>
      <t xml:space="preserve">進入菁英頁與頭目頁時，獲得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層紙盾。</t>
    </r>
  </si>
  <si>
    <r>
      <rPr>
        <sz val="11"/>
        <rFont val="Arial"/>
        <family val="0"/>
        <charset val="1"/>
      </rPr>
      <t xml:space="preserve">shields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</t>
    </r>
  </si>
  <si>
    <t xml:space="preserve">背水一戰</t>
  </si>
  <si>
    <r>
      <rPr>
        <sz val="11"/>
        <rFont val="WenQuanYi Zen Hei"/>
        <family val="2"/>
      </rPr>
      <t xml:space="preserve">生命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點以下時，射速與移動速度提升 </t>
    </r>
    <r>
      <rPr>
        <sz val="11"/>
        <rFont val="Arial"/>
        <family val="0"/>
        <charset val="1"/>
      </rPr>
      <t xml:space="preserve">20%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</si>
  <si>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耐久：</t>
    </r>
    <r>
      <rPr>
        <sz val="11"/>
        <rFont val="Arial"/>
        <family val="0"/>
        <charset val="1"/>
      </rPr>
      <t xml:space="preserve">3
rate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1.2
</t>
    </r>
    <r>
      <rPr>
        <sz val="11"/>
        <rFont val="WenQuanYi Zen Hei"/>
        <family val="2"/>
      </rPr>
      <t xml:space="preserve">速度：</t>
    </r>
    <r>
      <rPr>
        <sz val="11"/>
        <rFont val="Arial"/>
        <family val="0"/>
        <charset val="1"/>
      </rPr>
      <t xml:space="preserve">1.2</t>
    </r>
  </si>
  <si>
    <t xml:space="preserve">賭徒心態</t>
  </si>
  <si>
    <r>
      <rPr>
        <sz val="11"/>
        <rFont val="WenQuanYi Zen Hei"/>
        <family val="2"/>
      </rPr>
      <t xml:space="preserve">在事件小遊戲、奇遇、休息區與寶箱頁，獲得的分數與回血 </t>
    </r>
    <r>
      <rPr>
        <sz val="11"/>
        <rFont val="Arial"/>
        <family val="0"/>
        <charset val="1"/>
      </rPr>
      <t xml:space="preserve">×2</t>
    </r>
    <r>
      <rPr>
        <sz val="11"/>
        <rFont val="WenQuanYi Zen Hei"/>
        <family val="2"/>
      </rPr>
      <t xml:space="preserve">，失去的分數與受到的傷害也 </t>
    </r>
    <r>
      <rPr>
        <sz val="11"/>
        <rFont val="Arial"/>
        <family val="0"/>
        <charset val="1"/>
      </rPr>
      <t xml:space="preserve">×2</t>
    </r>
    <r>
      <rPr>
        <sz val="11"/>
        <rFont val="WenQuanYi Zen Hei"/>
        <family val="2"/>
      </rPr>
      <t xml:space="preserve">（其他遺物造成的變化不算）。只剩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點生命時，加倍的傷害不會致死。</t>
    </r>
  </si>
  <si>
    <r>
      <rPr>
        <sz val="11"/>
        <rFont val="WenQuanYi Zen Hei"/>
        <family val="2"/>
      </rPr>
      <t xml:space="preserve">倍率：</t>
    </r>
    <r>
      <rPr>
        <sz val="11"/>
        <rFont val="Arial"/>
        <family val="0"/>
        <charset val="1"/>
      </rPr>
      <t xml:space="preserve">2</t>
    </r>
  </si>
  <si>
    <t xml:space="preserve">受虐傾向</t>
  </si>
  <si>
    <r>
      <rPr>
        <sz val="11"/>
        <rFont val="WenQuanYi Zen Hei"/>
        <family val="2"/>
      </rPr>
      <t xml:space="preserve">每次被攻擊時獲得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點墨水（被紙盾、堡壘、立可白或其他遺物擋下也算）。</t>
    </r>
  </si>
  <si>
    <r>
      <rPr>
        <sz val="11"/>
        <rFont val="WenQuanYi Zen Hei"/>
        <family val="2"/>
      </rPr>
      <t xml:space="preserve">墨水：</t>
    </r>
    <r>
      <rPr>
        <sz val="11"/>
        <rFont val="Arial"/>
        <family val="0"/>
        <charset val="1"/>
      </rPr>
      <t xml:space="preserve">0.5</t>
    </r>
  </si>
  <si>
    <t xml:space="preserve">（取得方式）</t>
  </si>
  <si>
    <r>
      <rPr>
        <sz val="11"/>
        <rFont val="WenQuanYi Zen Hei"/>
        <family val="2"/>
      </rPr>
      <t xml:space="preserve">每次擊敗頭目後進入圖書館，從已解鎖的遺物中隨機出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件，免費選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件；最多帶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件，超過要丟棄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件。</t>
    </r>
  </si>
  <si>
    <t xml:space="preserve">課程</t>
  </si>
  <si>
    <t xml:space="preserve">挑戰</t>
  </si>
  <si>
    <t xml:space="preserve">完成獎勵</t>
  </si>
  <si>
    <t xml:space="preserve">數學課</t>
  </si>
  <si>
    <r>
      <rPr>
        <sz val="11"/>
        <rFont val="WenQuanYi Zen Hei"/>
        <family val="2"/>
      </rPr>
      <t xml:space="preserve">照數字順序打，從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數到 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！</t>
    </r>
  </si>
  <si>
    <r>
      <rPr>
        <sz val="11"/>
        <rFont val="WenQuanYi Zen Hei"/>
        <family val="2"/>
      </rPr>
      <t xml:space="preserve">• 每次隨機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隻敵人頭上標同一個數字，打倒其中一隻就換下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隻標下一個數字
• 沒標數字的敵人，傷害 −</t>
    </r>
    <r>
      <rPr>
        <sz val="11"/>
        <rFont val="Arial"/>
        <family val="0"/>
        <charset val="1"/>
      </rPr>
      <t xml:space="preserve">{off}%</t>
    </r>
  </si>
  <si>
    <r>
      <rPr>
        <sz val="11"/>
        <rFont val="WenQuanYi Zen Hei"/>
        <family val="2"/>
      </rPr>
      <t xml:space="preserve">• 打倒標著 </t>
    </r>
    <r>
      <rPr>
        <sz val="11"/>
        <rFont val="Arial"/>
        <family val="0"/>
        <charset val="1"/>
      </rPr>
      <t xml:space="preserve">{goal} </t>
    </r>
    <r>
      <rPr>
        <sz val="11"/>
        <rFont val="WenQuanYi Zen Hei"/>
        <family val="2"/>
      </rPr>
      <t xml:space="preserve">的敵人，再清掉剩下的敵人就開門</t>
    </r>
  </si>
  <si>
    <r>
      <rPr>
        <sz val="11"/>
        <rFont val="WenQuanYi Zen Hei"/>
        <family val="2"/>
      </rPr>
      <t xml:space="preserve">本頁加分：</t>
    </r>
    <r>
      <rPr>
        <sz val="11"/>
        <rFont val="Arial"/>
        <family val="0"/>
        <charset val="1"/>
      </rPr>
      <t xml:space="preserve">800
</t>
    </r>
    <r>
      <rPr>
        <sz val="11"/>
        <rFont val="WenQuanYi Zen Hei"/>
        <family val="2"/>
      </rPr>
      <t xml:space="preserve">墨水補滿：</t>
    </r>
    <r>
      <rPr>
        <sz val="11"/>
        <rFont val="Arial"/>
        <family val="0"/>
        <charset val="1"/>
      </rPr>
      <t xml:space="preserve">1</t>
    </r>
  </si>
  <si>
    <r>
      <rPr>
        <sz val="11"/>
        <color rgb="FF0000FF"/>
        <rFont val="Arial"/>
        <family val="0"/>
        <charset val="1"/>
      </rPr>
      <t xml:space="preserve">off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
goal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tags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
extra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
extraDelay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1.2</t>
    </r>
  </si>
  <si>
    <t xml:space="preserve">體育課</t>
  </si>
  <si>
    <t xml:space="preserve">跑起來，趕在時間內結束！</t>
  </si>
  <si>
    <r>
      <rPr>
        <sz val="11"/>
        <rFont val="WenQuanYi Zen Hei"/>
        <family val="2"/>
      </rPr>
      <t xml:space="preserve">• 你的速度 </t>
    </r>
    <r>
      <rPr>
        <sz val="11"/>
        <rFont val="Arial"/>
        <family val="0"/>
        <charset val="1"/>
      </rPr>
      <t xml:space="preserve">+{speed}%
• </t>
    </r>
    <r>
      <rPr>
        <sz val="11"/>
        <rFont val="WenQuanYi Zen Hei"/>
        <family val="2"/>
      </rPr>
      <t xml:space="preserve">敵人與敵彈也 </t>
    </r>
    <r>
      <rPr>
        <sz val="11"/>
        <rFont val="Arial"/>
        <family val="0"/>
        <charset val="1"/>
      </rPr>
      <t xml:space="preserve">+{foe}%</t>
    </r>
  </si>
  <si>
    <r>
      <rPr>
        <sz val="11"/>
        <rFont val="Arial"/>
        <family val="0"/>
        <charset val="1"/>
      </rPr>
      <t xml:space="preserve">• {time} </t>
    </r>
    <r>
      <rPr>
        <sz val="11"/>
        <rFont val="WenQuanYi Zen Hei"/>
        <family val="2"/>
      </rPr>
      <t xml:space="preserve">秒內清場</t>
    </r>
  </si>
  <si>
    <r>
      <rPr>
        <sz val="11"/>
        <rFont val="WenQuanYi Zen Hei"/>
        <family val="2"/>
      </rPr>
      <t xml:space="preserve">本頁加分：</t>
    </r>
    <r>
      <rPr>
        <sz val="11"/>
        <rFont val="Arial"/>
        <family val="0"/>
        <charset val="1"/>
      </rPr>
      <t xml:space="preserve">1000
</t>
    </r>
    <r>
      <rPr>
        <sz val="11"/>
        <rFont val="WenQuanYi Zen Hei"/>
        <family val="2"/>
      </rPr>
      <t xml:space="preserve">墨點：</t>
    </r>
    <r>
      <rPr>
        <sz val="11"/>
        <rFont val="Arial"/>
        <family val="0"/>
        <charset val="1"/>
      </rPr>
      <t xml:space="preserve">1</t>
    </r>
  </si>
  <si>
    <r>
      <rPr>
        <sz val="11"/>
        <color rgb="FF0000FF"/>
        <rFont val="Arial"/>
        <family val="0"/>
        <charset val="1"/>
      </rPr>
      <t xml:space="preserve">speed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1.2
foe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1.2
time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90</t>
    </r>
  </si>
  <si>
    <t xml:space="preserve">資訊課</t>
  </si>
  <si>
    <t xml:space="preserve">敵人會分身，找出本尊！</t>
  </si>
  <si>
    <r>
      <rPr>
        <sz val="11"/>
        <rFont val="WenQuanYi Zen Hei"/>
        <family val="2"/>
      </rPr>
      <t xml:space="preserve">• 每 </t>
    </r>
    <r>
      <rPr>
        <sz val="11"/>
        <rFont val="Arial"/>
        <family val="0"/>
        <charset val="1"/>
      </rPr>
      <t xml:space="preserve">{every} </t>
    </r>
    <r>
      <rPr>
        <sz val="11"/>
        <rFont val="WenQuanYi Zen Hei"/>
        <family val="2"/>
      </rPr>
      <t xml:space="preserve">秒複製一隻（最多 </t>
    </r>
    <r>
      <rPr>
        <sz val="11"/>
        <rFont val="Arial"/>
        <family val="0"/>
        <charset val="1"/>
      </rPr>
      <t xml:space="preserve">{max} </t>
    </r>
    <r>
      <rPr>
        <sz val="11"/>
        <rFont val="WenQuanYi Zen Hei"/>
        <family val="2"/>
      </rPr>
      <t xml:space="preserve">個）
• 副本只有 </t>
    </r>
    <r>
      <rPr>
        <sz val="11"/>
        <rFont val="Arial"/>
        <family val="0"/>
        <charset val="1"/>
      </rPr>
      <t xml:space="preserve">{hp}% </t>
    </r>
    <r>
      <rPr>
        <sz val="11"/>
        <rFont val="WenQuanYi Zen Hei"/>
        <family val="2"/>
      </rPr>
      <t xml:space="preserve">血，本尊倒下就消失</t>
    </r>
  </si>
  <si>
    <t xml:space="preserve">• 擊倒所有本尊</t>
  </si>
  <si>
    <r>
      <rPr>
        <sz val="11"/>
        <rFont val="WenQuanYi Zen Hei"/>
        <family val="2"/>
      </rPr>
      <t xml:space="preserve">本頁加分：</t>
    </r>
    <r>
      <rPr>
        <sz val="11"/>
        <rFont val="Arial"/>
        <family val="0"/>
        <charset val="1"/>
      </rPr>
      <t xml:space="preserve">800
</t>
    </r>
    <r>
      <rPr>
        <sz val="11"/>
        <rFont val="WenQuanYi Zen Hei"/>
        <family val="2"/>
      </rPr>
      <t xml:space="preserve">回復生命：</t>
    </r>
    <r>
      <rPr>
        <sz val="11"/>
        <rFont val="Arial"/>
        <family val="0"/>
        <charset val="1"/>
      </rPr>
      <t xml:space="preserve">2</t>
    </r>
  </si>
  <si>
    <r>
      <rPr>
        <sz val="11"/>
        <color rgb="FF0000FF"/>
        <rFont val="Arial"/>
        <family val="0"/>
        <charset val="1"/>
      </rPr>
      <t xml:space="preserve">every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
max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
hp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0.5</t>
    </r>
  </si>
  <si>
    <t xml:space="preserve">訓導課</t>
  </si>
  <si>
    <t xml:space="preserve">老師氣得丟粉筆，看準時機閃過去！</t>
  </si>
  <si>
    <r>
      <rPr>
        <sz val="11"/>
        <rFont val="WenQuanYi Zen Hei"/>
        <family val="2"/>
      </rPr>
      <t xml:space="preserve">• 每 </t>
    </r>
    <r>
      <rPr>
        <sz val="11"/>
        <rFont val="Arial"/>
        <family val="0"/>
        <charset val="1"/>
      </rPr>
      <t xml:space="preserve">{every} </t>
    </r>
    <r>
      <rPr>
        <sz val="11"/>
        <rFont val="WenQuanYi Zen Hei"/>
        <family val="2"/>
      </rPr>
      <t xml:space="preserve">秒老師從附近丟一支粉筆過來（出手前先畫出粉筆的飛行軌跡）
• 衝刺冷卻 −</t>
    </r>
    <r>
      <rPr>
        <sz val="11"/>
        <rFont val="Arial"/>
        <family val="0"/>
        <charset val="1"/>
      </rPr>
      <t xml:space="preserve">{dash}%</t>
    </r>
  </si>
  <si>
    <r>
      <rPr>
        <sz val="11"/>
        <rFont val="WenQuanYi Zen Hei"/>
        <family val="2"/>
      </rPr>
      <t xml:space="preserve">• 衝刺閃過子彈 </t>
    </r>
    <r>
      <rPr>
        <sz val="11"/>
        <rFont val="Arial"/>
        <family val="0"/>
        <charset val="1"/>
      </rPr>
      <t xml:space="preserve">{goal} </t>
    </r>
    <r>
      <rPr>
        <sz val="11"/>
        <rFont val="WenQuanYi Zen Hei"/>
        <family val="2"/>
      </rPr>
      <t xml:space="preserve">次</t>
    </r>
  </si>
  <si>
    <r>
      <rPr>
        <sz val="11"/>
        <rFont val="WenQuanYi Zen Hei"/>
        <family val="2"/>
      </rPr>
      <t xml:space="preserve">本頁加分：</t>
    </r>
    <r>
      <rPr>
        <sz val="11"/>
        <rFont val="Arial"/>
        <family val="0"/>
        <charset val="1"/>
      </rPr>
      <t xml:space="preserve">900
</t>
    </r>
    <r>
      <rPr>
        <sz val="11"/>
        <rFont val="WenQuanYi Zen Hei"/>
        <family val="2"/>
      </rPr>
      <t xml:space="preserve">墨點：</t>
    </r>
    <r>
      <rPr>
        <sz val="11"/>
        <rFont val="Arial"/>
        <family val="0"/>
        <charset val="1"/>
      </rPr>
      <t xml:space="preserve">1</t>
    </r>
  </si>
  <si>
    <r>
      <rPr>
        <sz val="11"/>
        <color rgb="FF0000FF"/>
        <rFont val="Arial"/>
        <family val="0"/>
        <charset val="1"/>
      </rPr>
      <t xml:space="preserve">every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1.6
first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2.5
speed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11
life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2.2
spread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0.08
distX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7.5
distZ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4.5
warn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0.85
teleLen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16
teleW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0.22
dashCd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0.6
goal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</t>
    </r>
  </si>
  <si>
    <t xml:space="preserve">音樂課</t>
  </si>
  <si>
    <t xml:space="preserve">跟著節奏，踩進地上的圈圈！</t>
  </si>
  <si>
    <r>
      <rPr>
        <sz val="11"/>
        <rFont val="WenQuanYi Zen Hei"/>
        <family val="2"/>
      </rPr>
      <t xml:space="preserve">• 戰鬥時地上不時出現圈圈
• 圈圈 </t>
    </r>
    <r>
      <rPr>
        <sz val="11"/>
        <rFont val="Arial"/>
        <family val="0"/>
        <charset val="1"/>
      </rPr>
      <t xml:space="preserve">{life} </t>
    </r>
    <r>
      <rPr>
        <sz val="11"/>
        <rFont val="WenQuanYi Zen Hei"/>
        <family val="2"/>
      </rPr>
      <t xml:space="preserve">秒後消失</t>
    </r>
  </si>
  <si>
    <r>
      <rPr>
        <sz val="11"/>
        <rFont val="WenQuanYi Zen Hei"/>
        <family val="2"/>
      </rPr>
      <t xml:space="preserve">• 踩中 </t>
    </r>
    <r>
      <rPr>
        <sz val="11"/>
        <rFont val="Arial"/>
        <family val="0"/>
        <charset val="1"/>
      </rPr>
      <t xml:space="preserve">{goal} </t>
    </r>
    <r>
      <rPr>
        <sz val="11"/>
        <rFont val="WenQuanYi Zen Hei"/>
        <family val="2"/>
      </rPr>
      <t xml:space="preserve">個圈圈</t>
    </r>
  </si>
  <si>
    <r>
      <rPr>
        <sz val="11"/>
        <rFont val="WenQuanYi Zen Hei"/>
        <family val="2"/>
      </rPr>
      <t xml:space="preserve">本頁加分：</t>
    </r>
    <r>
      <rPr>
        <sz val="11"/>
        <rFont val="Arial"/>
        <family val="0"/>
        <charset val="1"/>
      </rPr>
      <t xml:space="preserve">900
</t>
    </r>
    <r>
      <rPr>
        <sz val="11"/>
        <rFont val="WenQuanYi Zen Hei"/>
        <family val="2"/>
      </rPr>
      <t xml:space="preserve">回復生命：</t>
    </r>
    <r>
      <rPr>
        <sz val="11"/>
        <rFont val="Arial"/>
        <family val="0"/>
        <charset val="1"/>
      </rPr>
      <t xml:space="preserve">1
</t>
    </r>
    <r>
      <rPr>
        <sz val="11"/>
        <rFont val="WenQuanYi Zen Hei"/>
        <family val="2"/>
      </rPr>
      <t xml:space="preserve">墨水補滿：</t>
    </r>
    <r>
      <rPr>
        <sz val="11"/>
        <rFont val="Arial"/>
        <family val="0"/>
        <charset val="1"/>
      </rPr>
      <t xml:space="preserve">1</t>
    </r>
  </si>
  <si>
    <r>
      <rPr>
        <sz val="11"/>
        <color rgb="FF0000FF"/>
        <rFont val="Arial"/>
        <family val="0"/>
        <charset val="1"/>
      </rPr>
      <t xml:space="preserve">every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2.6
first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1.6
life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
radius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1.3
max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
minFar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2.2
rangeX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5.5
rangeZ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3.6
foeGap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
tries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32
goal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</t>
    </r>
  </si>
  <si>
    <t xml:space="preserve">（每幕）</t>
  </si>
  <si>
    <r>
      <rPr>
        <sz val="11"/>
        <rFont val="WenQuanYi Zen Hei"/>
        <family val="2"/>
      </rPr>
      <t xml:space="preserve">課表模式每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頁為一幕：前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頁各抽一堂不同的課（同一幕不重複），第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頁為頭目、不套用課程。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</si>
</sst>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sz val="11"/>
      <color rgb="FF0000FF"/>
      <name val="Arial"/>
      <family val="0"/>
      <charset val="1"/>
    </font>
    <font>
      <sz val="11"/>
      <color rgb="FF0000FF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BE3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B2B2B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BE3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0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8.35" hidden="false" customHeight="false" outlineLevel="0" collapsed="false">
      <c r="A4" s="2" t="s">
        <v>3</v>
      </c>
      <c r="B4" s="3" t="s">
        <v>4</v>
      </c>
    </row>
    <row r="5" customFormat="false" ht="28.3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8.35" hidden="false" customHeight="false" outlineLevel="0" collapsed="false">
      <c r="A8" s="2" t="s">
        <v>11</v>
      </c>
      <c r="B8" s="3" t="s">
        <v>12</v>
      </c>
    </row>
    <row r="9" customFormat="false" ht="28.3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3" min="12" style="0" width="20"/>
    <col collapsed="false" customWidth="true" hidden="false" outlineLevel="0" max="15" min="14" style="0" width="40"/>
    <col collapsed="false" customWidth="true" hidden="false" outlineLevel="0" max="16" min="16" style="0" width="36"/>
  </cols>
  <sheetData>
    <row r="1" customFormat="false" ht="31.5" hidden="false" customHeight="true" outlineLevel="0" collapsed="false">
      <c r="A1" s="4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</row>
    <row r="2" customFormat="false" ht="55.2" hidden="false" customHeight="false" outlineLevel="0" collapsed="false">
      <c r="A2" s="6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8" t="n">
        <v>9</v>
      </c>
      <c r="H2" s="8" t="n">
        <v>1</v>
      </c>
      <c r="I2" s="8" t="n">
        <v>1</v>
      </c>
      <c r="J2" s="8" t="n">
        <v>2</v>
      </c>
      <c r="K2" s="8" t="n">
        <v>2</v>
      </c>
      <c r="L2" s="9" t="s">
        <v>39</v>
      </c>
      <c r="M2" s="9" t="s">
        <v>40</v>
      </c>
      <c r="N2" s="7" t="s">
        <v>41</v>
      </c>
      <c r="O2" s="7" t="s">
        <v>42</v>
      </c>
      <c r="P2" s="10" t="s">
        <v>43</v>
      </c>
    </row>
    <row r="3" customFormat="false" ht="41.75" hidden="false" customHeight="false" outlineLevel="0" collapsed="false">
      <c r="A3" s="6" t="s">
        <v>44</v>
      </c>
      <c r="B3" s="7" t="s">
        <v>45</v>
      </c>
      <c r="C3" s="7" t="s">
        <v>35</v>
      </c>
      <c r="D3" s="7" t="s">
        <v>36</v>
      </c>
      <c r="E3" s="7" t="s">
        <v>37</v>
      </c>
      <c r="F3" s="7" t="s">
        <v>38</v>
      </c>
      <c r="G3" s="8" t="n">
        <v>16</v>
      </c>
      <c r="H3" s="8" t="n">
        <v>1</v>
      </c>
      <c r="I3" s="8" t="n">
        <v>1</v>
      </c>
      <c r="J3" s="8" t="n">
        <v>2</v>
      </c>
      <c r="K3" s="8" t="n">
        <v>2</v>
      </c>
      <c r="L3" s="9" t="s">
        <v>46</v>
      </c>
      <c r="M3" s="9" t="s">
        <v>47</v>
      </c>
      <c r="N3" s="7" t="s">
        <v>48</v>
      </c>
      <c r="O3" s="7" t="s">
        <v>49</v>
      </c>
      <c r="P3" s="10"/>
    </row>
    <row r="4" customFormat="false" ht="28.35" hidden="false" customHeight="false" outlineLevel="0" collapsed="false">
      <c r="A4" s="6" t="s">
        <v>50</v>
      </c>
      <c r="B4" s="7" t="s">
        <v>51</v>
      </c>
      <c r="C4" s="7" t="s">
        <v>35</v>
      </c>
      <c r="D4" s="7" t="s">
        <v>36</v>
      </c>
      <c r="E4" s="7" t="s">
        <v>37</v>
      </c>
      <c r="F4" s="7" t="s">
        <v>52</v>
      </c>
      <c r="G4" s="8"/>
      <c r="H4" s="8" t="n">
        <v>1</v>
      </c>
      <c r="I4" s="8" t="n">
        <v>0</v>
      </c>
      <c r="J4" s="8" t="n">
        <v>2</v>
      </c>
      <c r="K4" s="8" t="n">
        <v>2</v>
      </c>
      <c r="L4" s="9" t="s">
        <v>53</v>
      </c>
      <c r="M4" s="9" t="s">
        <v>54</v>
      </c>
      <c r="N4" s="7" t="s">
        <v>55</v>
      </c>
      <c r="O4" s="7" t="s">
        <v>56</v>
      </c>
      <c r="P4" s="10"/>
    </row>
    <row r="5" customFormat="false" ht="28.35" hidden="false" customHeight="false" outlineLevel="0" collapsed="false">
      <c r="A5" s="6" t="s">
        <v>57</v>
      </c>
      <c r="B5" s="7" t="s">
        <v>58</v>
      </c>
      <c r="C5" s="7" t="s">
        <v>35</v>
      </c>
      <c r="D5" s="7" t="s">
        <v>36</v>
      </c>
      <c r="E5" s="7" t="s">
        <v>59</v>
      </c>
      <c r="F5" s="7" t="s">
        <v>60</v>
      </c>
      <c r="G5" s="8" t="n">
        <v>10</v>
      </c>
      <c r="H5" s="8" t="n">
        <v>1</v>
      </c>
      <c r="I5" s="8" t="n">
        <v>1</v>
      </c>
      <c r="J5" s="8" t="n">
        <v>3</v>
      </c>
      <c r="K5" s="8" t="n">
        <v>3</v>
      </c>
      <c r="L5" s="9" t="s">
        <v>61</v>
      </c>
      <c r="M5" s="9" t="s">
        <v>62</v>
      </c>
      <c r="N5" s="7" t="s">
        <v>63</v>
      </c>
      <c r="O5" s="7" t="s">
        <v>64</v>
      </c>
      <c r="P5" s="10"/>
    </row>
    <row r="6" customFormat="false" ht="28.35" hidden="false" customHeight="false" outlineLevel="0" collapsed="false">
      <c r="A6" s="6" t="s">
        <v>65</v>
      </c>
      <c r="B6" s="7" t="s">
        <v>66</v>
      </c>
      <c r="C6" s="7" t="s">
        <v>35</v>
      </c>
      <c r="D6" s="7" t="s">
        <v>36</v>
      </c>
      <c r="E6" s="7" t="s">
        <v>67</v>
      </c>
      <c r="F6" s="7" t="s">
        <v>52</v>
      </c>
      <c r="G6" s="8"/>
      <c r="H6" s="8" t="n">
        <v>1</v>
      </c>
      <c r="I6" s="8" t="n">
        <v>0</v>
      </c>
      <c r="J6" s="8" t="n">
        <v>2</v>
      </c>
      <c r="K6" s="8" t="n">
        <v>2</v>
      </c>
      <c r="L6" s="9" t="s">
        <v>68</v>
      </c>
      <c r="M6" s="9" t="s">
        <v>69</v>
      </c>
      <c r="N6" s="6" t="s">
        <v>70</v>
      </c>
      <c r="O6" s="6" t="s">
        <v>71</v>
      </c>
      <c r="P6" s="10"/>
    </row>
    <row r="7" customFormat="false" ht="41.75" hidden="false" customHeight="false" outlineLevel="0" collapsed="false">
      <c r="A7" s="6" t="s">
        <v>72</v>
      </c>
      <c r="B7" s="7" t="s">
        <v>73</v>
      </c>
      <c r="C7" s="7" t="s">
        <v>35</v>
      </c>
      <c r="D7" s="7" t="s">
        <v>74</v>
      </c>
      <c r="E7" s="7" t="s">
        <v>75</v>
      </c>
      <c r="F7" s="7" t="s">
        <v>76</v>
      </c>
      <c r="G7" s="8" t="n">
        <v>10</v>
      </c>
      <c r="H7" s="8" t="n">
        <v>1</v>
      </c>
      <c r="I7" s="8" t="n">
        <v>1</v>
      </c>
      <c r="J7" s="8" t="n">
        <v>2</v>
      </c>
      <c r="K7" s="8" t="n">
        <v>2</v>
      </c>
      <c r="L7" s="9" t="s">
        <v>77</v>
      </c>
      <c r="M7" s="9" t="s">
        <v>78</v>
      </c>
      <c r="N7" s="7" t="s">
        <v>79</v>
      </c>
      <c r="O7" s="7" t="s">
        <v>80</v>
      </c>
      <c r="P7" s="10"/>
    </row>
    <row r="8" customFormat="false" ht="82.05" hidden="false" customHeight="false" outlineLevel="0" collapsed="false">
      <c r="A8" s="6" t="s">
        <v>81</v>
      </c>
      <c r="B8" s="7" t="s">
        <v>82</v>
      </c>
      <c r="C8" s="7" t="s">
        <v>35</v>
      </c>
      <c r="D8" s="7" t="s">
        <v>74</v>
      </c>
      <c r="E8" s="7" t="s">
        <v>83</v>
      </c>
      <c r="F8" s="7" t="s">
        <v>38</v>
      </c>
      <c r="G8" s="8" t="n">
        <v>7</v>
      </c>
      <c r="H8" s="8" t="n">
        <v>1</v>
      </c>
      <c r="I8" s="8" t="n">
        <v>1</v>
      </c>
      <c r="J8" s="8" t="n">
        <v>2</v>
      </c>
      <c r="K8" s="8" t="n">
        <v>2</v>
      </c>
      <c r="L8" s="9" t="s">
        <v>84</v>
      </c>
      <c r="M8" s="9" t="s">
        <v>85</v>
      </c>
      <c r="N8" s="7" t="s">
        <v>86</v>
      </c>
      <c r="O8" s="7" t="s">
        <v>87</v>
      </c>
      <c r="P8" s="10"/>
    </row>
    <row r="9" customFormat="false" ht="55.2" hidden="false" customHeight="false" outlineLevel="0" collapsed="false">
      <c r="A9" s="6" t="s">
        <v>88</v>
      </c>
      <c r="B9" s="7" t="s">
        <v>89</v>
      </c>
      <c r="C9" s="7" t="s">
        <v>35</v>
      </c>
      <c r="D9" s="7" t="s">
        <v>74</v>
      </c>
      <c r="E9" s="7" t="s">
        <v>90</v>
      </c>
      <c r="F9" s="7" t="s">
        <v>60</v>
      </c>
      <c r="G9" s="8" t="n">
        <v>11</v>
      </c>
      <c r="H9" s="8" t="n">
        <v>1</v>
      </c>
      <c r="I9" s="8" t="n">
        <v>0</v>
      </c>
      <c r="J9" s="8" t="n">
        <v>1</v>
      </c>
      <c r="K9" s="8" t="n">
        <v>1</v>
      </c>
      <c r="L9" s="9" t="s">
        <v>91</v>
      </c>
      <c r="M9" s="9" t="s">
        <v>92</v>
      </c>
      <c r="N9" s="7" t="s">
        <v>93</v>
      </c>
      <c r="O9" s="7" t="s">
        <v>94</v>
      </c>
      <c r="P9" s="10"/>
    </row>
    <row r="10" customFormat="false" ht="28.35" hidden="false" customHeight="false" outlineLevel="0" collapsed="false">
      <c r="A10" s="6" t="s">
        <v>95</v>
      </c>
      <c r="B10" s="7" t="s">
        <v>96</v>
      </c>
      <c r="C10" s="7" t="s">
        <v>35</v>
      </c>
      <c r="D10" s="7" t="s">
        <v>97</v>
      </c>
      <c r="E10" s="7" t="s">
        <v>67</v>
      </c>
      <c r="F10" s="7" t="s">
        <v>52</v>
      </c>
      <c r="G10" s="8"/>
      <c r="H10" s="8" t="n">
        <v>1</v>
      </c>
      <c r="I10" s="8" t="n">
        <v>1</v>
      </c>
      <c r="J10" s="8" t="n">
        <v>3</v>
      </c>
      <c r="K10" s="8" t="n">
        <v>3</v>
      </c>
      <c r="L10" s="9" t="s">
        <v>98</v>
      </c>
      <c r="M10" s="9" t="s">
        <v>99</v>
      </c>
      <c r="N10" s="7" t="s">
        <v>100</v>
      </c>
      <c r="O10" s="7" t="s">
        <v>101</v>
      </c>
      <c r="P10" s="10"/>
    </row>
    <row r="11" customFormat="false" ht="28.35" hidden="false" customHeight="false" outlineLevel="0" collapsed="false">
      <c r="A11" s="6" t="s">
        <v>102</v>
      </c>
      <c r="B11" s="7" t="s">
        <v>103</v>
      </c>
      <c r="C11" s="7" t="s">
        <v>35</v>
      </c>
      <c r="D11" s="7" t="s">
        <v>97</v>
      </c>
      <c r="E11" s="7" t="s">
        <v>104</v>
      </c>
      <c r="F11" s="7" t="s">
        <v>38</v>
      </c>
      <c r="G11" s="8" t="n">
        <v>6</v>
      </c>
      <c r="H11" s="8" t="n">
        <v>2</v>
      </c>
      <c r="I11" s="8" t="n">
        <v>0</v>
      </c>
      <c r="J11" s="8" t="n">
        <v>2</v>
      </c>
      <c r="K11" s="8" t="n">
        <v>2</v>
      </c>
      <c r="L11" s="9" t="s">
        <v>105</v>
      </c>
      <c r="M11" s="9" t="s">
        <v>106</v>
      </c>
      <c r="N11" s="7" t="s">
        <v>107</v>
      </c>
      <c r="O11" s="7" t="s">
        <v>108</v>
      </c>
      <c r="P11" s="10"/>
    </row>
    <row r="12" customFormat="false" ht="15" hidden="false" customHeight="false" outlineLevel="0" collapsed="false">
      <c r="A12" s="6" t="s">
        <v>109</v>
      </c>
      <c r="B12" s="7" t="s">
        <v>110</v>
      </c>
      <c r="C12" s="7" t="s">
        <v>35</v>
      </c>
      <c r="D12" s="7" t="s">
        <v>97</v>
      </c>
      <c r="E12" s="7" t="s">
        <v>67</v>
      </c>
      <c r="F12" s="7" t="s">
        <v>52</v>
      </c>
      <c r="G12" s="8"/>
      <c r="H12" s="8" t="n">
        <v>2</v>
      </c>
      <c r="I12" s="8" t="n">
        <v>0</v>
      </c>
      <c r="J12" s="8" t="n">
        <v>3</v>
      </c>
      <c r="K12" s="8" t="n">
        <v>3</v>
      </c>
      <c r="L12" s="9" t="s">
        <v>111</v>
      </c>
      <c r="M12" s="9" t="s">
        <v>112</v>
      </c>
      <c r="N12" s="7" t="s">
        <v>113</v>
      </c>
      <c r="O12" s="7" t="s">
        <v>114</v>
      </c>
      <c r="P12" s="10"/>
    </row>
    <row r="13" customFormat="false" ht="41.75" hidden="false" customHeight="false" outlineLevel="0" collapsed="false">
      <c r="A13" s="6" t="s">
        <v>115</v>
      </c>
      <c r="B13" s="7" t="s">
        <v>116</v>
      </c>
      <c r="C13" s="7" t="s">
        <v>35</v>
      </c>
      <c r="D13" s="7" t="s">
        <v>97</v>
      </c>
      <c r="E13" s="7" t="s">
        <v>117</v>
      </c>
      <c r="F13" s="7" t="s">
        <v>52</v>
      </c>
      <c r="G13" s="8"/>
      <c r="H13" s="8" t="n">
        <v>3</v>
      </c>
      <c r="I13" s="8" t="n">
        <v>0</v>
      </c>
      <c r="J13" s="8" t="n">
        <v>2</v>
      </c>
      <c r="K13" s="8" t="n">
        <v>2</v>
      </c>
      <c r="L13" s="9" t="s">
        <v>118</v>
      </c>
      <c r="M13" s="9" t="s">
        <v>119</v>
      </c>
      <c r="N13" s="7" t="s">
        <v>120</v>
      </c>
      <c r="O13" s="7" t="s">
        <v>121</v>
      </c>
      <c r="P13" s="10"/>
    </row>
    <row r="14" customFormat="false" ht="28.35" hidden="false" customHeight="false" outlineLevel="0" collapsed="false">
      <c r="A14" s="6" t="s">
        <v>122</v>
      </c>
      <c r="B14" s="7" t="s">
        <v>123</v>
      </c>
      <c r="C14" s="7" t="s">
        <v>35</v>
      </c>
      <c r="D14" s="7" t="s">
        <v>36</v>
      </c>
      <c r="E14" s="7" t="s">
        <v>37</v>
      </c>
      <c r="F14" s="7" t="s">
        <v>38</v>
      </c>
      <c r="G14" s="8" t="n">
        <v>14</v>
      </c>
      <c r="H14" s="8" t="n">
        <v>3</v>
      </c>
      <c r="I14" s="8" t="n">
        <v>0</v>
      </c>
      <c r="J14" s="8" t="n">
        <v>2</v>
      </c>
      <c r="K14" s="8" t="n">
        <v>2</v>
      </c>
      <c r="L14" s="9" t="s">
        <v>124</v>
      </c>
      <c r="M14" s="9" t="s">
        <v>125</v>
      </c>
      <c r="N14" s="7" t="s">
        <v>126</v>
      </c>
      <c r="O14" s="7" t="s">
        <v>127</v>
      </c>
      <c r="P14" s="10"/>
    </row>
    <row r="15" customFormat="false" ht="28.35" hidden="false" customHeight="false" outlineLevel="0" collapsed="false">
      <c r="A15" s="6" t="s">
        <v>128</v>
      </c>
      <c r="B15" s="7" t="s">
        <v>129</v>
      </c>
      <c r="C15" s="7" t="s">
        <v>35</v>
      </c>
      <c r="D15" s="7" t="s">
        <v>97</v>
      </c>
      <c r="E15" s="7" t="s">
        <v>67</v>
      </c>
      <c r="F15" s="7" t="s">
        <v>52</v>
      </c>
      <c r="G15" s="8"/>
      <c r="H15" s="8" t="n">
        <v>3</v>
      </c>
      <c r="I15" s="8" t="n">
        <v>0</v>
      </c>
      <c r="J15" s="8" t="n">
        <v>1</v>
      </c>
      <c r="K15" s="8" t="n">
        <v>1</v>
      </c>
      <c r="L15" s="9" t="s">
        <v>130</v>
      </c>
      <c r="M15" s="9" t="s">
        <v>131</v>
      </c>
      <c r="N15" s="7" t="s">
        <v>132</v>
      </c>
      <c r="O15" s="7" t="s">
        <v>133</v>
      </c>
      <c r="P15" s="10"/>
    </row>
    <row r="16" customFormat="false" ht="41.75" hidden="false" customHeight="false" outlineLevel="0" collapsed="false">
      <c r="A16" s="6" t="s">
        <v>134</v>
      </c>
      <c r="B16" s="7" t="s">
        <v>135</v>
      </c>
      <c r="C16" s="7" t="s">
        <v>35</v>
      </c>
      <c r="D16" s="7" t="s">
        <v>136</v>
      </c>
      <c r="E16" s="7" t="s">
        <v>137</v>
      </c>
      <c r="F16" s="7" t="s">
        <v>60</v>
      </c>
      <c r="G16" s="8" t="n">
        <v>14</v>
      </c>
      <c r="H16" s="8" t="n">
        <v>4</v>
      </c>
      <c r="I16" s="8" t="n">
        <v>0</v>
      </c>
      <c r="J16" s="8" t="n">
        <v>1</v>
      </c>
      <c r="K16" s="8" t="n">
        <v>1</v>
      </c>
      <c r="L16" s="9" t="s">
        <v>138</v>
      </c>
      <c r="M16" s="9" t="s">
        <v>139</v>
      </c>
      <c r="N16" s="7" t="s">
        <v>140</v>
      </c>
      <c r="O16" s="7" t="s">
        <v>141</v>
      </c>
      <c r="P16" s="10"/>
    </row>
    <row r="17" customFormat="false" ht="28.35" hidden="false" customHeight="false" outlineLevel="0" collapsed="false">
      <c r="A17" s="6" t="s">
        <v>142</v>
      </c>
      <c r="B17" s="7" t="s">
        <v>143</v>
      </c>
      <c r="C17" s="7" t="s">
        <v>35</v>
      </c>
      <c r="D17" s="7" t="s">
        <v>136</v>
      </c>
      <c r="E17" s="7" t="s">
        <v>67</v>
      </c>
      <c r="F17" s="7" t="s">
        <v>52</v>
      </c>
      <c r="G17" s="8"/>
      <c r="H17" s="8" t="n">
        <v>4</v>
      </c>
      <c r="I17" s="8" t="n">
        <v>0</v>
      </c>
      <c r="J17" s="8" t="n">
        <v>1</v>
      </c>
      <c r="K17" s="8" t="n">
        <v>1</v>
      </c>
      <c r="L17" s="9" t="s">
        <v>144</v>
      </c>
      <c r="M17" s="9" t="s">
        <v>145</v>
      </c>
      <c r="N17" s="6" t="s">
        <v>146</v>
      </c>
      <c r="O17" s="6" t="s">
        <v>147</v>
      </c>
      <c r="P17" s="10"/>
    </row>
    <row r="18" customFormat="false" ht="28.35" hidden="false" customHeight="false" outlineLevel="0" collapsed="false">
      <c r="A18" s="6" t="s">
        <v>148</v>
      </c>
      <c r="B18" s="7" t="s">
        <v>149</v>
      </c>
      <c r="C18" s="7" t="s">
        <v>35</v>
      </c>
      <c r="D18" s="7" t="s">
        <v>136</v>
      </c>
      <c r="E18" s="7" t="s">
        <v>67</v>
      </c>
      <c r="F18" s="7" t="s">
        <v>52</v>
      </c>
      <c r="G18" s="8"/>
      <c r="H18" s="8" t="n">
        <v>4</v>
      </c>
      <c r="I18" s="8" t="n">
        <v>0</v>
      </c>
      <c r="J18" s="8" t="n">
        <v>1</v>
      </c>
      <c r="K18" s="8" t="n">
        <v>0</v>
      </c>
      <c r="L18" s="8" t="s">
        <v>150</v>
      </c>
      <c r="M18" s="8"/>
      <c r="N18" s="7" t="s">
        <v>151</v>
      </c>
      <c r="O18" s="7" t="s">
        <v>152</v>
      </c>
      <c r="P18" s="10"/>
    </row>
    <row r="19" customFormat="false" ht="28.35" hidden="false" customHeight="false" outlineLevel="0" collapsed="false">
      <c r="A19" s="6" t="s">
        <v>153</v>
      </c>
      <c r="B19" s="7" t="s">
        <v>154</v>
      </c>
      <c r="C19" s="7" t="s">
        <v>35</v>
      </c>
      <c r="D19" s="7" t="s">
        <v>136</v>
      </c>
      <c r="E19" s="7" t="s">
        <v>155</v>
      </c>
      <c r="F19" s="7" t="s">
        <v>60</v>
      </c>
      <c r="G19" s="8" t="n">
        <v>8</v>
      </c>
      <c r="H19" s="8" t="n">
        <v>5</v>
      </c>
      <c r="I19" s="8" t="n">
        <v>0</v>
      </c>
      <c r="J19" s="8" t="n">
        <v>3</v>
      </c>
      <c r="K19" s="8" t="n">
        <v>3</v>
      </c>
      <c r="L19" s="9" t="s">
        <v>156</v>
      </c>
      <c r="M19" s="9" t="s">
        <v>157</v>
      </c>
      <c r="N19" s="7" t="s">
        <v>158</v>
      </c>
      <c r="O19" s="7" t="s">
        <v>159</v>
      </c>
      <c r="P19" s="10"/>
    </row>
    <row r="20" customFormat="false" ht="41.75" hidden="false" customHeight="false" outlineLevel="0" collapsed="false">
      <c r="A20" s="6" t="s">
        <v>160</v>
      </c>
      <c r="B20" s="7" t="s">
        <v>161</v>
      </c>
      <c r="C20" s="7" t="s">
        <v>35</v>
      </c>
      <c r="D20" s="7" t="s">
        <v>36</v>
      </c>
      <c r="E20" s="7" t="s">
        <v>162</v>
      </c>
      <c r="F20" s="7" t="s">
        <v>60</v>
      </c>
      <c r="G20" s="8" t="n">
        <v>11</v>
      </c>
      <c r="H20" s="8" t="n">
        <v>5</v>
      </c>
      <c r="I20" s="8" t="n">
        <v>0</v>
      </c>
      <c r="J20" s="8" t="n">
        <v>3</v>
      </c>
      <c r="K20" s="8" t="n">
        <v>3</v>
      </c>
      <c r="L20" s="9" t="s">
        <v>163</v>
      </c>
      <c r="M20" s="9" t="s">
        <v>164</v>
      </c>
      <c r="N20" s="7" t="s">
        <v>165</v>
      </c>
      <c r="O20" s="7" t="s">
        <v>166</v>
      </c>
      <c r="P20" s="10"/>
    </row>
    <row r="21" customFormat="false" ht="28.35" hidden="false" customHeight="false" outlineLevel="0" collapsed="false">
      <c r="A21" s="6" t="s">
        <v>167</v>
      </c>
      <c r="B21" s="7" t="s">
        <v>168</v>
      </c>
      <c r="C21" s="7" t="s">
        <v>35</v>
      </c>
      <c r="D21" s="7" t="s">
        <v>74</v>
      </c>
      <c r="E21" s="7" t="s">
        <v>90</v>
      </c>
      <c r="F21" s="7" t="s">
        <v>60</v>
      </c>
      <c r="G21" s="8" t="n">
        <v>10</v>
      </c>
      <c r="H21" s="8" t="n">
        <v>6</v>
      </c>
      <c r="I21" s="8" t="n">
        <v>0</v>
      </c>
      <c r="J21" s="8" t="n">
        <v>2</v>
      </c>
      <c r="K21" s="8" t="n">
        <v>2</v>
      </c>
      <c r="L21" s="9" t="s">
        <v>169</v>
      </c>
      <c r="M21" s="9" t="s">
        <v>170</v>
      </c>
      <c r="N21" s="7" t="s">
        <v>171</v>
      </c>
      <c r="O21" s="7" t="s">
        <v>172</v>
      </c>
      <c r="P21" s="10"/>
    </row>
    <row r="22" customFormat="false" ht="41.75" hidden="false" customHeight="false" outlineLevel="0" collapsed="false">
      <c r="A22" s="6" t="s">
        <v>173</v>
      </c>
      <c r="B22" s="7" t="s">
        <v>174</v>
      </c>
      <c r="C22" s="7" t="s">
        <v>35</v>
      </c>
      <c r="D22" s="7" t="s">
        <v>97</v>
      </c>
      <c r="E22" s="7" t="s">
        <v>117</v>
      </c>
      <c r="F22" s="7" t="s">
        <v>175</v>
      </c>
      <c r="G22" s="8"/>
      <c r="H22" s="8" t="n">
        <v>6</v>
      </c>
      <c r="I22" s="8" t="n">
        <v>0</v>
      </c>
      <c r="J22" s="8" t="n">
        <v>1</v>
      </c>
      <c r="K22" s="8" t="n">
        <v>1</v>
      </c>
      <c r="L22" s="9" t="s">
        <v>176</v>
      </c>
      <c r="M22" s="9" t="s">
        <v>177</v>
      </c>
      <c r="N22" s="7" t="s">
        <v>178</v>
      </c>
      <c r="O22" s="7" t="s">
        <v>179</v>
      </c>
      <c r="P22" s="10"/>
    </row>
    <row r="23" customFormat="false" ht="15" hidden="false" customHeight="false" outlineLevel="0" collapsed="false">
      <c r="A23" s="6" t="s">
        <v>180</v>
      </c>
      <c r="B23" s="7" t="s">
        <v>181</v>
      </c>
      <c r="C23" s="7" t="s">
        <v>35</v>
      </c>
      <c r="D23" s="7" t="s">
        <v>136</v>
      </c>
      <c r="E23" s="7" t="s">
        <v>182</v>
      </c>
      <c r="F23" s="7" t="s">
        <v>52</v>
      </c>
      <c r="G23" s="8"/>
      <c r="H23" s="8" t="n">
        <v>7</v>
      </c>
      <c r="I23" s="8" t="n">
        <v>0</v>
      </c>
      <c r="J23" s="8" t="n">
        <v>3</v>
      </c>
      <c r="K23" s="8" t="n">
        <v>3</v>
      </c>
      <c r="L23" s="9" t="s">
        <v>183</v>
      </c>
      <c r="M23" s="9" t="s">
        <v>184</v>
      </c>
      <c r="N23" s="7" t="s">
        <v>185</v>
      </c>
      <c r="O23" s="7" t="s">
        <v>186</v>
      </c>
      <c r="P23" s="10"/>
    </row>
    <row r="24" customFormat="false" ht="28.35" hidden="false" customHeight="false" outlineLevel="0" collapsed="false">
      <c r="A24" s="6" t="s">
        <v>187</v>
      </c>
      <c r="B24" s="7" t="s">
        <v>188</v>
      </c>
      <c r="C24" s="7" t="s">
        <v>35</v>
      </c>
      <c r="D24" s="7" t="s">
        <v>136</v>
      </c>
      <c r="E24" s="7" t="s">
        <v>137</v>
      </c>
      <c r="F24" s="7" t="s">
        <v>60</v>
      </c>
      <c r="G24" s="8" t="n">
        <v>12</v>
      </c>
      <c r="H24" s="8" t="n">
        <v>7</v>
      </c>
      <c r="I24" s="8" t="n">
        <v>0</v>
      </c>
      <c r="J24" s="8" t="n">
        <v>2</v>
      </c>
      <c r="K24" s="8" t="n">
        <v>2</v>
      </c>
      <c r="L24" s="9" t="s">
        <v>189</v>
      </c>
      <c r="M24" s="9" t="s">
        <v>190</v>
      </c>
      <c r="N24" s="7" t="s">
        <v>191</v>
      </c>
      <c r="O24" s="7" t="s">
        <v>192</v>
      </c>
      <c r="P24" s="10"/>
    </row>
    <row r="25" customFormat="false" ht="28.35" hidden="false" customHeight="false" outlineLevel="0" collapsed="false">
      <c r="A25" s="6" t="s">
        <v>193</v>
      </c>
      <c r="B25" s="7" t="s">
        <v>194</v>
      </c>
      <c r="C25" s="7" t="s">
        <v>35</v>
      </c>
      <c r="D25" s="7" t="s">
        <v>97</v>
      </c>
      <c r="E25" s="7" t="s">
        <v>59</v>
      </c>
      <c r="F25" s="7" t="s">
        <v>60</v>
      </c>
      <c r="G25" s="8" t="n">
        <v>8</v>
      </c>
      <c r="H25" s="8" t="n">
        <v>8</v>
      </c>
      <c r="I25" s="8" t="n">
        <v>0</v>
      </c>
      <c r="J25" s="8" t="n">
        <v>3</v>
      </c>
      <c r="K25" s="8" t="n">
        <v>3</v>
      </c>
      <c r="L25" s="9" t="s">
        <v>195</v>
      </c>
      <c r="M25" s="9" t="s">
        <v>196</v>
      </c>
      <c r="N25" s="7" t="s">
        <v>197</v>
      </c>
      <c r="O25" s="7" t="s">
        <v>198</v>
      </c>
      <c r="P25" s="10"/>
    </row>
    <row r="26" customFormat="false" ht="28.35" hidden="false" customHeight="false" outlineLevel="0" collapsed="false">
      <c r="A26" s="6" t="s">
        <v>199</v>
      </c>
      <c r="B26" s="7" t="s">
        <v>200</v>
      </c>
      <c r="C26" s="7" t="s">
        <v>35</v>
      </c>
      <c r="D26" s="7" t="s">
        <v>36</v>
      </c>
      <c r="E26" s="7" t="s">
        <v>59</v>
      </c>
      <c r="F26" s="7" t="s">
        <v>38</v>
      </c>
      <c r="G26" s="8" t="n">
        <v>9</v>
      </c>
      <c r="H26" s="8" t="n">
        <v>9</v>
      </c>
      <c r="I26" s="8" t="n">
        <v>0</v>
      </c>
      <c r="J26" s="8" t="n">
        <v>2</v>
      </c>
      <c r="K26" s="8" t="n">
        <v>2</v>
      </c>
      <c r="L26" s="9" t="s">
        <v>201</v>
      </c>
      <c r="M26" s="9" t="s">
        <v>202</v>
      </c>
      <c r="N26" s="7" t="s">
        <v>203</v>
      </c>
      <c r="O26" s="7" t="s">
        <v>204</v>
      </c>
      <c r="P26" s="10"/>
    </row>
    <row r="27" customFormat="false" ht="41.75" hidden="false" customHeight="false" outlineLevel="0" collapsed="false">
      <c r="A27" s="6" t="s">
        <v>205</v>
      </c>
      <c r="B27" s="7" t="s">
        <v>206</v>
      </c>
      <c r="C27" s="7" t="s">
        <v>35</v>
      </c>
      <c r="D27" s="7" t="s">
        <v>74</v>
      </c>
      <c r="E27" s="7" t="s">
        <v>90</v>
      </c>
      <c r="F27" s="7" t="s">
        <v>60</v>
      </c>
      <c r="G27" s="8" t="n">
        <v>9</v>
      </c>
      <c r="H27" s="8" t="n">
        <v>9</v>
      </c>
      <c r="I27" s="8" t="n">
        <v>0</v>
      </c>
      <c r="J27" s="8" t="n">
        <v>1</v>
      </c>
      <c r="K27" s="8" t="n">
        <v>1</v>
      </c>
      <c r="L27" s="9" t="s">
        <v>207</v>
      </c>
      <c r="M27" s="9" t="s">
        <v>208</v>
      </c>
      <c r="N27" s="7" t="s">
        <v>209</v>
      </c>
      <c r="O27" s="7" t="s">
        <v>210</v>
      </c>
      <c r="P27" s="10"/>
    </row>
    <row r="28" customFormat="false" ht="41.75" hidden="false" customHeight="false" outlineLevel="0" collapsed="false">
      <c r="A28" s="6" t="s">
        <v>211</v>
      </c>
      <c r="B28" s="7" t="s">
        <v>212</v>
      </c>
      <c r="C28" s="7" t="s">
        <v>35</v>
      </c>
      <c r="D28" s="7" t="s">
        <v>36</v>
      </c>
      <c r="E28" s="7" t="s">
        <v>213</v>
      </c>
      <c r="F28" s="7" t="s">
        <v>52</v>
      </c>
      <c r="G28" s="8"/>
      <c r="H28" s="8" t="n">
        <v>10</v>
      </c>
      <c r="I28" s="8" t="n">
        <v>0</v>
      </c>
      <c r="J28" s="8" t="n">
        <v>2</v>
      </c>
      <c r="K28" s="8" t="n">
        <v>2</v>
      </c>
      <c r="L28" s="9" t="s">
        <v>214</v>
      </c>
      <c r="M28" s="9" t="s">
        <v>215</v>
      </c>
      <c r="N28" s="7" t="s">
        <v>216</v>
      </c>
      <c r="O28" s="7" t="s">
        <v>217</v>
      </c>
      <c r="P28" s="10"/>
    </row>
    <row r="29" customFormat="false" ht="41.75" hidden="false" customHeight="false" outlineLevel="0" collapsed="false">
      <c r="A29" s="6" t="s">
        <v>218</v>
      </c>
      <c r="B29" s="7" t="s">
        <v>219</v>
      </c>
      <c r="C29" s="7" t="s">
        <v>35</v>
      </c>
      <c r="D29" s="7" t="s">
        <v>74</v>
      </c>
      <c r="E29" s="7" t="s">
        <v>90</v>
      </c>
      <c r="F29" s="7" t="s">
        <v>60</v>
      </c>
      <c r="G29" s="8" t="n">
        <v>9</v>
      </c>
      <c r="H29" s="8" t="n">
        <v>10</v>
      </c>
      <c r="I29" s="8" t="n">
        <v>0</v>
      </c>
      <c r="J29" s="8" t="n">
        <v>2</v>
      </c>
      <c r="K29" s="8" t="n">
        <v>2</v>
      </c>
      <c r="L29" s="9" t="s">
        <v>220</v>
      </c>
      <c r="M29" s="9" t="s">
        <v>221</v>
      </c>
      <c r="N29" s="7" t="s">
        <v>222</v>
      </c>
      <c r="O29" s="7" t="s">
        <v>223</v>
      </c>
      <c r="P29" s="10"/>
    </row>
    <row r="30" customFormat="false" ht="41.75" hidden="false" customHeight="false" outlineLevel="0" collapsed="false">
      <c r="A30" s="6" t="s">
        <v>224</v>
      </c>
      <c r="B30" s="7" t="s">
        <v>225</v>
      </c>
      <c r="C30" s="7" t="s">
        <v>35</v>
      </c>
      <c r="D30" s="7" t="s">
        <v>36</v>
      </c>
      <c r="E30" s="7" t="s">
        <v>162</v>
      </c>
      <c r="F30" s="7" t="s">
        <v>60</v>
      </c>
      <c r="G30" s="8" t="n">
        <v>12</v>
      </c>
      <c r="H30" s="8" t="n">
        <v>11</v>
      </c>
      <c r="I30" s="8" t="n">
        <v>0</v>
      </c>
      <c r="J30" s="8" t="n">
        <v>3</v>
      </c>
      <c r="K30" s="8" t="n">
        <v>3</v>
      </c>
      <c r="L30" s="9" t="s">
        <v>226</v>
      </c>
      <c r="M30" s="9" t="s">
        <v>227</v>
      </c>
      <c r="N30" s="7" t="s">
        <v>228</v>
      </c>
      <c r="O30" s="7" t="s">
        <v>229</v>
      </c>
      <c r="P30" s="10"/>
    </row>
    <row r="31" customFormat="false" ht="41.75" hidden="false" customHeight="false" outlineLevel="0" collapsed="false">
      <c r="A31" s="6" t="s">
        <v>230</v>
      </c>
      <c r="B31" s="7" t="s">
        <v>231</v>
      </c>
      <c r="C31" s="7" t="s">
        <v>35</v>
      </c>
      <c r="D31" s="7" t="s">
        <v>74</v>
      </c>
      <c r="E31" s="7" t="s">
        <v>90</v>
      </c>
      <c r="F31" s="7" t="s">
        <v>60</v>
      </c>
      <c r="G31" s="8" t="n">
        <v>9</v>
      </c>
      <c r="H31" s="8" t="n">
        <v>11</v>
      </c>
      <c r="I31" s="8" t="n">
        <v>0</v>
      </c>
      <c r="J31" s="8" t="n">
        <v>2</v>
      </c>
      <c r="K31" s="8" t="n">
        <v>2</v>
      </c>
      <c r="L31" s="9" t="s">
        <v>232</v>
      </c>
      <c r="M31" s="9" t="s">
        <v>233</v>
      </c>
      <c r="N31" s="7" t="s">
        <v>234</v>
      </c>
      <c r="O31" s="7" t="s">
        <v>235</v>
      </c>
      <c r="P31" s="10"/>
    </row>
    <row r="32" customFormat="false" ht="15" hidden="false" customHeight="false" outlineLevel="0" collapsed="false">
      <c r="A32" s="6" t="s">
        <v>236</v>
      </c>
      <c r="B32" s="7" t="s">
        <v>237</v>
      </c>
      <c r="C32" s="7" t="s">
        <v>35</v>
      </c>
      <c r="D32" s="7" t="s">
        <v>97</v>
      </c>
      <c r="E32" s="7" t="s">
        <v>67</v>
      </c>
      <c r="F32" s="7" t="s">
        <v>52</v>
      </c>
      <c r="G32" s="8"/>
      <c r="H32" s="8" t="n">
        <v>12</v>
      </c>
      <c r="I32" s="8" t="n">
        <v>0</v>
      </c>
      <c r="J32" s="8" t="n">
        <v>2</v>
      </c>
      <c r="K32" s="8" t="n">
        <v>2</v>
      </c>
      <c r="L32" s="9" t="s">
        <v>184</v>
      </c>
      <c r="M32" s="9" t="s">
        <v>238</v>
      </c>
      <c r="N32" s="6" t="s">
        <v>239</v>
      </c>
      <c r="O32" s="6" t="s">
        <v>240</v>
      </c>
      <c r="P32" s="10"/>
    </row>
    <row r="33" customFormat="false" ht="41.75" hidden="false" customHeight="false" outlineLevel="0" collapsed="false">
      <c r="A33" s="6" t="s">
        <v>241</v>
      </c>
      <c r="B33" s="7" t="s">
        <v>242</v>
      </c>
      <c r="C33" s="7" t="s">
        <v>35</v>
      </c>
      <c r="D33" s="7" t="s">
        <v>36</v>
      </c>
      <c r="E33" s="7" t="s">
        <v>37</v>
      </c>
      <c r="F33" s="7" t="s">
        <v>38</v>
      </c>
      <c r="G33" s="8" t="n">
        <v>12</v>
      </c>
      <c r="H33" s="8" t="n">
        <v>12</v>
      </c>
      <c r="I33" s="8" t="n">
        <v>0</v>
      </c>
      <c r="J33" s="8" t="n">
        <v>2</v>
      </c>
      <c r="K33" s="8" t="n">
        <v>2</v>
      </c>
      <c r="L33" s="9" t="s">
        <v>243</v>
      </c>
      <c r="M33" s="9" t="s">
        <v>244</v>
      </c>
      <c r="N33" s="7" t="s">
        <v>245</v>
      </c>
      <c r="O33" s="7" t="s">
        <v>246</v>
      </c>
      <c r="P33" s="10"/>
    </row>
    <row r="34" customFormat="false" ht="15" hidden="false" customHeight="false" outlineLevel="0" collapsed="false">
      <c r="A34" s="6" t="s">
        <v>247</v>
      </c>
      <c r="B34" s="7" t="s">
        <v>248</v>
      </c>
      <c r="C34" s="7" t="s">
        <v>35</v>
      </c>
      <c r="D34" s="7" t="s">
        <v>136</v>
      </c>
      <c r="E34" s="7" t="s">
        <v>67</v>
      </c>
      <c r="F34" s="7" t="s">
        <v>52</v>
      </c>
      <c r="G34" s="8"/>
      <c r="H34" s="8" t="n">
        <v>13</v>
      </c>
      <c r="I34" s="8" t="n">
        <v>0</v>
      </c>
      <c r="J34" s="8" t="n">
        <v>1</v>
      </c>
      <c r="K34" s="8" t="n">
        <v>1</v>
      </c>
      <c r="L34" s="9" t="s">
        <v>249</v>
      </c>
      <c r="M34" s="9" t="s">
        <v>250</v>
      </c>
      <c r="N34" s="7" t="s">
        <v>251</v>
      </c>
      <c r="O34" s="7" t="s">
        <v>252</v>
      </c>
      <c r="P34" s="10"/>
    </row>
    <row r="35" customFormat="false" ht="28.35" hidden="false" customHeight="false" outlineLevel="0" collapsed="false">
      <c r="A35" s="6" t="s">
        <v>253</v>
      </c>
      <c r="B35" s="7" t="s">
        <v>254</v>
      </c>
      <c r="C35" s="7" t="s">
        <v>35</v>
      </c>
      <c r="D35" s="7" t="s">
        <v>136</v>
      </c>
      <c r="E35" s="7" t="s">
        <v>67</v>
      </c>
      <c r="F35" s="7" t="s">
        <v>52</v>
      </c>
      <c r="G35" s="8"/>
      <c r="H35" s="8" t="n">
        <v>13</v>
      </c>
      <c r="I35" s="8" t="n">
        <v>0</v>
      </c>
      <c r="J35" s="8" t="n">
        <v>1</v>
      </c>
      <c r="K35" s="8" t="n">
        <v>0</v>
      </c>
      <c r="L35" s="9" t="s">
        <v>255</v>
      </c>
      <c r="M35" s="8"/>
      <c r="N35" s="7" t="s">
        <v>256</v>
      </c>
      <c r="O35" s="7" t="s">
        <v>152</v>
      </c>
      <c r="P35" s="10"/>
    </row>
    <row r="36" customFormat="false" ht="41.75" hidden="false" customHeight="false" outlineLevel="0" collapsed="false">
      <c r="A36" s="6" t="s">
        <v>257</v>
      </c>
      <c r="B36" s="7" t="s">
        <v>258</v>
      </c>
      <c r="C36" s="7" t="s">
        <v>35</v>
      </c>
      <c r="D36" s="7" t="s">
        <v>36</v>
      </c>
      <c r="E36" s="7" t="s">
        <v>59</v>
      </c>
      <c r="F36" s="7" t="s">
        <v>60</v>
      </c>
      <c r="G36" s="8" t="n">
        <v>10</v>
      </c>
      <c r="H36" s="8" t="n">
        <v>14</v>
      </c>
      <c r="I36" s="8" t="n">
        <v>0</v>
      </c>
      <c r="J36" s="8" t="n">
        <v>3</v>
      </c>
      <c r="K36" s="8" t="n">
        <v>3</v>
      </c>
      <c r="L36" s="9" t="s">
        <v>259</v>
      </c>
      <c r="M36" s="9" t="s">
        <v>260</v>
      </c>
      <c r="N36" s="7" t="s">
        <v>261</v>
      </c>
      <c r="O36" s="7" t="s">
        <v>262</v>
      </c>
      <c r="P36" s="10"/>
    </row>
    <row r="37" customFormat="false" ht="55.2" hidden="false" customHeight="false" outlineLevel="0" collapsed="false">
      <c r="A37" s="6" t="s">
        <v>263</v>
      </c>
      <c r="B37" s="7" t="s">
        <v>264</v>
      </c>
      <c r="C37" s="7" t="s">
        <v>35</v>
      </c>
      <c r="D37" s="7" t="s">
        <v>74</v>
      </c>
      <c r="E37" s="7" t="s">
        <v>90</v>
      </c>
      <c r="F37" s="7" t="s">
        <v>60</v>
      </c>
      <c r="G37" s="8" t="n">
        <v>10</v>
      </c>
      <c r="H37" s="8" t="n">
        <v>15</v>
      </c>
      <c r="I37" s="8" t="n">
        <v>0</v>
      </c>
      <c r="J37" s="8" t="n">
        <v>2</v>
      </c>
      <c r="K37" s="8" t="n">
        <v>2</v>
      </c>
      <c r="L37" s="9" t="s">
        <v>265</v>
      </c>
      <c r="M37" s="9" t="s">
        <v>266</v>
      </c>
      <c r="N37" s="7" t="s">
        <v>267</v>
      </c>
      <c r="O37" s="7" t="s">
        <v>268</v>
      </c>
      <c r="P37" s="10"/>
    </row>
    <row r="38" customFormat="false" ht="41.75" hidden="false" customHeight="false" outlineLevel="0" collapsed="false">
      <c r="A38" s="6" t="s">
        <v>269</v>
      </c>
      <c r="B38" s="7" t="s">
        <v>270</v>
      </c>
      <c r="C38" s="7" t="s">
        <v>35</v>
      </c>
      <c r="D38" s="7" t="s">
        <v>97</v>
      </c>
      <c r="E38" s="7" t="s">
        <v>67</v>
      </c>
      <c r="F38" s="7" t="s">
        <v>52</v>
      </c>
      <c r="G38" s="8"/>
      <c r="H38" s="8" t="n">
        <v>16</v>
      </c>
      <c r="I38" s="8" t="n">
        <v>0</v>
      </c>
      <c r="J38" s="8" t="n">
        <v>2</v>
      </c>
      <c r="K38" s="8" t="n">
        <v>2</v>
      </c>
      <c r="L38" s="9" t="s">
        <v>271</v>
      </c>
      <c r="M38" s="9" t="s">
        <v>272</v>
      </c>
      <c r="N38" s="6" t="s">
        <v>273</v>
      </c>
      <c r="O38" s="6" t="s">
        <v>274</v>
      </c>
      <c r="P38" s="10"/>
    </row>
    <row r="39" customFormat="false" ht="28.35" hidden="false" customHeight="false" outlineLevel="0" collapsed="false">
      <c r="A39" s="6" t="s">
        <v>275</v>
      </c>
      <c r="B39" s="7" t="s">
        <v>276</v>
      </c>
      <c r="C39" s="7" t="s">
        <v>35</v>
      </c>
      <c r="D39" s="7" t="s">
        <v>136</v>
      </c>
      <c r="E39" s="7" t="s">
        <v>67</v>
      </c>
      <c r="F39" s="7" t="s">
        <v>52</v>
      </c>
      <c r="G39" s="8"/>
      <c r="H39" s="8" t="n">
        <v>16</v>
      </c>
      <c r="I39" s="8" t="n">
        <v>0</v>
      </c>
      <c r="J39" s="8" t="n">
        <v>2</v>
      </c>
      <c r="K39" s="8" t="n">
        <v>2</v>
      </c>
      <c r="L39" s="9" t="s">
        <v>277</v>
      </c>
      <c r="M39" s="9" t="s">
        <v>272</v>
      </c>
      <c r="N39" s="6" t="s">
        <v>278</v>
      </c>
      <c r="O39" s="6" t="s">
        <v>279</v>
      </c>
      <c r="P39" s="10"/>
    </row>
    <row r="40" customFormat="false" ht="55.2" hidden="false" customHeight="false" outlineLevel="0" collapsed="false">
      <c r="A40" s="6" t="s">
        <v>280</v>
      </c>
      <c r="B40" s="7" t="s">
        <v>281</v>
      </c>
      <c r="C40" s="7" t="s">
        <v>35</v>
      </c>
      <c r="D40" s="7" t="s">
        <v>36</v>
      </c>
      <c r="E40" s="7" t="s">
        <v>90</v>
      </c>
      <c r="F40" s="7" t="s">
        <v>60</v>
      </c>
      <c r="G40" s="8" t="n">
        <v>10</v>
      </c>
      <c r="H40" s="8" t="n">
        <v>17</v>
      </c>
      <c r="I40" s="8" t="n">
        <v>0</v>
      </c>
      <c r="J40" s="8" t="n">
        <v>2</v>
      </c>
      <c r="K40" s="8" t="n">
        <v>2</v>
      </c>
      <c r="L40" s="8" t="s">
        <v>282</v>
      </c>
      <c r="M40" s="9" t="s">
        <v>283</v>
      </c>
      <c r="N40" s="7" t="s">
        <v>284</v>
      </c>
      <c r="O40" s="7" t="s">
        <v>285</v>
      </c>
      <c r="P40" s="10"/>
    </row>
    <row r="41" customFormat="false" ht="55.2" hidden="false" customHeight="false" outlineLevel="0" collapsed="false">
      <c r="A41" s="6" t="s">
        <v>286</v>
      </c>
      <c r="B41" s="7" t="s">
        <v>287</v>
      </c>
      <c r="C41" s="7" t="s">
        <v>35</v>
      </c>
      <c r="D41" s="7" t="s">
        <v>36</v>
      </c>
      <c r="E41" s="7" t="s">
        <v>37</v>
      </c>
      <c r="F41" s="7" t="s">
        <v>38</v>
      </c>
      <c r="G41" s="8" t="n">
        <v>14</v>
      </c>
      <c r="H41" s="8" t="n">
        <v>17</v>
      </c>
      <c r="I41" s="8" t="n">
        <v>0</v>
      </c>
      <c r="J41" s="8" t="n">
        <v>2</v>
      </c>
      <c r="K41" s="8" t="n">
        <v>2</v>
      </c>
      <c r="L41" s="9" t="s">
        <v>288</v>
      </c>
      <c r="M41" s="9" t="s">
        <v>289</v>
      </c>
      <c r="N41" s="7" t="s">
        <v>290</v>
      </c>
      <c r="O41" s="7" t="s">
        <v>291</v>
      </c>
      <c r="P41" s="10"/>
    </row>
    <row r="42" customFormat="false" ht="28.35" hidden="false" customHeight="false" outlineLevel="0" collapsed="false">
      <c r="A42" s="6" t="s">
        <v>292</v>
      </c>
      <c r="B42" s="7" t="s">
        <v>293</v>
      </c>
      <c r="C42" s="7" t="s">
        <v>35</v>
      </c>
      <c r="D42" s="7" t="s">
        <v>97</v>
      </c>
      <c r="E42" s="7" t="s">
        <v>90</v>
      </c>
      <c r="F42" s="7" t="s">
        <v>60</v>
      </c>
      <c r="G42" s="8" t="n">
        <v>9</v>
      </c>
      <c r="H42" s="8" t="n">
        <v>18</v>
      </c>
      <c r="I42" s="8" t="n">
        <v>0</v>
      </c>
      <c r="J42" s="8" t="n">
        <v>2</v>
      </c>
      <c r="K42" s="8" t="n">
        <v>2</v>
      </c>
      <c r="L42" s="9" t="s">
        <v>294</v>
      </c>
      <c r="M42" s="9" t="s">
        <v>295</v>
      </c>
      <c r="N42" s="7" t="s">
        <v>296</v>
      </c>
      <c r="O42" s="7" t="s">
        <v>297</v>
      </c>
      <c r="P42" s="10"/>
    </row>
    <row r="43" customFormat="false" ht="55.2" hidden="false" customHeight="false" outlineLevel="0" collapsed="false">
      <c r="A43" s="6" t="s">
        <v>298</v>
      </c>
      <c r="B43" s="7" t="s">
        <v>299</v>
      </c>
      <c r="C43" s="7" t="s">
        <v>35</v>
      </c>
      <c r="D43" s="7" t="s">
        <v>97</v>
      </c>
      <c r="E43" s="7" t="s">
        <v>67</v>
      </c>
      <c r="F43" s="7" t="s">
        <v>52</v>
      </c>
      <c r="G43" s="8"/>
      <c r="H43" s="8" t="n">
        <v>18</v>
      </c>
      <c r="I43" s="8" t="n">
        <v>0</v>
      </c>
      <c r="J43" s="8" t="n">
        <v>2</v>
      </c>
      <c r="K43" s="8" t="n">
        <v>2</v>
      </c>
      <c r="L43" s="9" t="s">
        <v>300</v>
      </c>
      <c r="M43" s="9" t="s">
        <v>301</v>
      </c>
      <c r="N43" s="6" t="s">
        <v>302</v>
      </c>
      <c r="O43" s="6" t="s">
        <v>303</v>
      </c>
      <c r="P43" s="10"/>
    </row>
    <row r="44" customFormat="false" ht="55.2" hidden="false" customHeight="false" outlineLevel="0" collapsed="false">
      <c r="A44" s="6" t="s">
        <v>304</v>
      </c>
      <c r="B44" s="7" t="s">
        <v>305</v>
      </c>
      <c r="C44" s="7" t="s">
        <v>35</v>
      </c>
      <c r="D44" s="7" t="s">
        <v>36</v>
      </c>
      <c r="E44" s="7" t="s">
        <v>137</v>
      </c>
      <c r="F44" s="7" t="s">
        <v>60</v>
      </c>
      <c r="G44" s="8" t="n">
        <v>12</v>
      </c>
      <c r="H44" s="8" t="n">
        <v>19</v>
      </c>
      <c r="I44" s="8" t="n">
        <v>0</v>
      </c>
      <c r="J44" s="8" t="n">
        <v>2</v>
      </c>
      <c r="K44" s="8" t="n">
        <v>2</v>
      </c>
      <c r="L44" s="9" t="s">
        <v>306</v>
      </c>
      <c r="M44" s="9" t="s">
        <v>307</v>
      </c>
      <c r="N44" s="7" t="s">
        <v>308</v>
      </c>
      <c r="O44" s="7" t="s">
        <v>309</v>
      </c>
      <c r="P44" s="10"/>
    </row>
    <row r="45" customFormat="false" ht="28.35" hidden="false" customHeight="false" outlineLevel="0" collapsed="false">
      <c r="A45" s="6" t="s">
        <v>310</v>
      </c>
      <c r="B45" s="7" t="s">
        <v>311</v>
      </c>
      <c r="C45" s="7" t="s">
        <v>35</v>
      </c>
      <c r="D45" s="7" t="s">
        <v>136</v>
      </c>
      <c r="E45" s="7" t="s">
        <v>67</v>
      </c>
      <c r="F45" s="7" t="s">
        <v>52</v>
      </c>
      <c r="G45" s="8"/>
      <c r="H45" s="8" t="n">
        <v>20</v>
      </c>
      <c r="I45" s="8" t="n">
        <v>0</v>
      </c>
      <c r="J45" s="8" t="n">
        <v>1</v>
      </c>
      <c r="K45" s="8" t="n">
        <v>1</v>
      </c>
      <c r="L45" s="8" t="s">
        <v>312</v>
      </c>
      <c r="M45" s="8" t="s">
        <v>313</v>
      </c>
      <c r="N45" s="7" t="s">
        <v>314</v>
      </c>
      <c r="O45" s="7" t="s">
        <v>315</v>
      </c>
      <c r="P45" s="10"/>
    </row>
    <row r="46" customFormat="false" ht="28.35" hidden="false" customHeight="false" outlineLevel="0" collapsed="false">
      <c r="A46" s="11" t="s">
        <v>316</v>
      </c>
      <c r="B46" s="12" t="s">
        <v>317</v>
      </c>
      <c r="C46" s="12" t="s">
        <v>318</v>
      </c>
      <c r="D46" s="12" t="s">
        <v>36</v>
      </c>
      <c r="E46" s="12" t="s">
        <v>137</v>
      </c>
      <c r="F46" s="12" t="s">
        <v>60</v>
      </c>
      <c r="G46" s="13" t="n">
        <v>12</v>
      </c>
      <c r="H46" s="13" t="n">
        <v>1</v>
      </c>
      <c r="I46" s="13" t="n">
        <v>1</v>
      </c>
      <c r="J46" s="13" t="n">
        <v>5</v>
      </c>
      <c r="K46" s="13" t="n">
        <v>4</v>
      </c>
      <c r="L46" s="14" t="s">
        <v>319</v>
      </c>
      <c r="M46" s="13"/>
      <c r="N46" s="12" t="s">
        <v>320</v>
      </c>
      <c r="O46" s="12" t="s">
        <v>152</v>
      </c>
      <c r="P46" s="10"/>
    </row>
    <row r="47" customFormat="false" ht="41.75" hidden="false" customHeight="false" outlineLevel="0" collapsed="false">
      <c r="A47" s="11" t="s">
        <v>321</v>
      </c>
      <c r="B47" s="12" t="s">
        <v>322</v>
      </c>
      <c r="C47" s="12" t="s">
        <v>318</v>
      </c>
      <c r="D47" s="12" t="s">
        <v>36</v>
      </c>
      <c r="E47" s="12" t="s">
        <v>83</v>
      </c>
      <c r="F47" s="12" t="s">
        <v>38</v>
      </c>
      <c r="G47" s="13" t="n">
        <v>16</v>
      </c>
      <c r="H47" s="13" t="n">
        <v>1</v>
      </c>
      <c r="I47" s="13" t="n">
        <v>0</v>
      </c>
      <c r="J47" s="13" t="n">
        <v>4</v>
      </c>
      <c r="K47" s="13" t="n">
        <v>3</v>
      </c>
      <c r="L47" s="14" t="s">
        <v>323</v>
      </c>
      <c r="M47" s="13"/>
      <c r="N47" s="12" t="s">
        <v>324</v>
      </c>
      <c r="O47" s="12" t="s">
        <v>152</v>
      </c>
      <c r="P47" s="10"/>
    </row>
    <row r="48" customFormat="false" ht="28.35" hidden="false" customHeight="false" outlineLevel="0" collapsed="false">
      <c r="A48" s="11" t="s">
        <v>325</v>
      </c>
      <c r="B48" s="12" t="s">
        <v>326</v>
      </c>
      <c r="C48" s="12" t="s">
        <v>318</v>
      </c>
      <c r="D48" s="12" t="s">
        <v>36</v>
      </c>
      <c r="E48" s="12" t="s">
        <v>67</v>
      </c>
      <c r="F48" s="12" t="s">
        <v>52</v>
      </c>
      <c r="G48" s="13"/>
      <c r="H48" s="13" t="n">
        <v>2</v>
      </c>
      <c r="I48" s="13" t="n">
        <v>0</v>
      </c>
      <c r="J48" s="13" t="n">
        <v>3</v>
      </c>
      <c r="K48" s="13" t="n">
        <v>2</v>
      </c>
      <c r="L48" s="14" t="s">
        <v>272</v>
      </c>
      <c r="M48" s="13"/>
      <c r="N48" s="11" t="s">
        <v>327</v>
      </c>
      <c r="O48" s="12" t="s">
        <v>152</v>
      </c>
      <c r="P48" s="10"/>
    </row>
    <row r="49" customFormat="false" ht="28.35" hidden="false" customHeight="false" outlineLevel="0" collapsed="false">
      <c r="A49" s="11" t="s">
        <v>328</v>
      </c>
      <c r="B49" s="12" t="s">
        <v>329</v>
      </c>
      <c r="C49" s="12" t="s">
        <v>318</v>
      </c>
      <c r="D49" s="12" t="s">
        <v>97</v>
      </c>
      <c r="E49" s="12" t="s">
        <v>67</v>
      </c>
      <c r="F49" s="12" t="s">
        <v>52</v>
      </c>
      <c r="G49" s="13"/>
      <c r="H49" s="13" t="n">
        <v>5</v>
      </c>
      <c r="I49" s="13" t="n">
        <v>0</v>
      </c>
      <c r="J49" s="13" t="n">
        <v>3</v>
      </c>
      <c r="K49" s="13" t="n">
        <v>2</v>
      </c>
      <c r="L49" s="14" t="s">
        <v>330</v>
      </c>
      <c r="M49" s="13"/>
      <c r="N49" s="12" t="s">
        <v>331</v>
      </c>
      <c r="O49" s="12" t="s">
        <v>152</v>
      </c>
      <c r="P49" s="10"/>
    </row>
    <row r="50" customFormat="false" ht="28.35" hidden="false" customHeight="false" outlineLevel="0" collapsed="false">
      <c r="A50" s="11" t="s">
        <v>332</v>
      </c>
      <c r="B50" s="12" t="s">
        <v>333</v>
      </c>
      <c r="C50" s="12" t="s">
        <v>318</v>
      </c>
      <c r="D50" s="12" t="s">
        <v>136</v>
      </c>
      <c r="E50" s="12" t="s">
        <v>182</v>
      </c>
      <c r="F50" s="12" t="s">
        <v>52</v>
      </c>
      <c r="G50" s="13"/>
      <c r="H50" s="13" t="n">
        <v>8</v>
      </c>
      <c r="I50" s="13" t="n">
        <v>0</v>
      </c>
      <c r="J50" s="13" t="n">
        <v>3</v>
      </c>
      <c r="K50" s="13" t="n">
        <v>2</v>
      </c>
      <c r="L50" s="14" t="s">
        <v>334</v>
      </c>
      <c r="M50" s="13"/>
      <c r="N50" s="12" t="s">
        <v>335</v>
      </c>
      <c r="O50" s="12" t="s">
        <v>152</v>
      </c>
      <c r="P50" s="10"/>
    </row>
    <row r="51" customFormat="false" ht="28.35" hidden="false" customHeight="false" outlineLevel="0" collapsed="false">
      <c r="A51" s="11" t="s">
        <v>336</v>
      </c>
      <c r="B51" s="12" t="s">
        <v>337</v>
      </c>
      <c r="C51" s="12" t="s">
        <v>318</v>
      </c>
      <c r="D51" s="12" t="s">
        <v>136</v>
      </c>
      <c r="E51" s="12" t="s">
        <v>338</v>
      </c>
      <c r="F51" s="12" t="s">
        <v>52</v>
      </c>
      <c r="G51" s="13"/>
      <c r="H51" s="13" t="n">
        <v>9</v>
      </c>
      <c r="I51" s="13" t="n">
        <v>0</v>
      </c>
      <c r="J51" s="13" t="n">
        <v>3</v>
      </c>
      <c r="K51" s="13" t="n">
        <v>2</v>
      </c>
      <c r="L51" s="14" t="s">
        <v>339</v>
      </c>
      <c r="M51" s="13"/>
      <c r="N51" s="12" t="s">
        <v>340</v>
      </c>
      <c r="O51" s="12" t="s">
        <v>152</v>
      </c>
      <c r="P51" s="10"/>
    </row>
    <row r="52" customFormat="false" ht="55.2" hidden="false" customHeight="false" outlineLevel="0" collapsed="false">
      <c r="A52" s="11" t="s">
        <v>341</v>
      </c>
      <c r="B52" s="12" t="s">
        <v>342</v>
      </c>
      <c r="C52" s="12" t="s">
        <v>318</v>
      </c>
      <c r="D52" s="12" t="s">
        <v>36</v>
      </c>
      <c r="E52" s="12" t="s">
        <v>90</v>
      </c>
      <c r="F52" s="12" t="s">
        <v>60</v>
      </c>
      <c r="G52" s="13" t="n">
        <v>12</v>
      </c>
      <c r="H52" s="13" t="n">
        <v>10</v>
      </c>
      <c r="I52" s="13" t="n">
        <v>0</v>
      </c>
      <c r="J52" s="13" t="n">
        <v>5</v>
      </c>
      <c r="K52" s="13" t="n">
        <v>4</v>
      </c>
      <c r="L52" s="14" t="s">
        <v>343</v>
      </c>
      <c r="M52" s="13"/>
      <c r="N52" s="12" t="s">
        <v>344</v>
      </c>
      <c r="O52" s="12" t="s">
        <v>152</v>
      </c>
      <c r="P52" s="10"/>
    </row>
    <row r="53" customFormat="false" ht="41.75" hidden="false" customHeight="false" outlineLevel="0" collapsed="false">
      <c r="A53" s="11" t="s">
        <v>345</v>
      </c>
      <c r="B53" s="12" t="s">
        <v>346</v>
      </c>
      <c r="C53" s="12" t="s">
        <v>318</v>
      </c>
      <c r="D53" s="12" t="s">
        <v>136</v>
      </c>
      <c r="E53" s="12" t="s">
        <v>182</v>
      </c>
      <c r="F53" s="12" t="s">
        <v>52</v>
      </c>
      <c r="G53" s="13"/>
      <c r="H53" s="13" t="n">
        <v>11</v>
      </c>
      <c r="I53" s="13" t="n">
        <v>0</v>
      </c>
      <c r="J53" s="13" t="n">
        <v>3</v>
      </c>
      <c r="K53" s="13" t="n">
        <v>2</v>
      </c>
      <c r="L53" s="14" t="s">
        <v>347</v>
      </c>
      <c r="M53" s="13"/>
      <c r="N53" s="11" t="s">
        <v>348</v>
      </c>
      <c r="O53" s="12" t="s">
        <v>152</v>
      </c>
      <c r="P53" s="10"/>
    </row>
    <row r="54" customFormat="false" ht="55.2" hidden="false" customHeight="false" outlineLevel="0" collapsed="false">
      <c r="A54" s="11" t="s">
        <v>349</v>
      </c>
      <c r="B54" s="12" t="s">
        <v>350</v>
      </c>
      <c r="C54" s="12" t="s">
        <v>318</v>
      </c>
      <c r="D54" s="12" t="s">
        <v>136</v>
      </c>
      <c r="E54" s="12" t="s">
        <v>155</v>
      </c>
      <c r="F54" s="12" t="s">
        <v>60</v>
      </c>
      <c r="G54" s="13" t="n">
        <v>8</v>
      </c>
      <c r="H54" s="13" t="n">
        <v>12</v>
      </c>
      <c r="I54" s="13" t="n">
        <v>0</v>
      </c>
      <c r="J54" s="13" t="n">
        <v>4</v>
      </c>
      <c r="K54" s="13" t="n">
        <v>3</v>
      </c>
      <c r="L54" s="14" t="s">
        <v>330</v>
      </c>
      <c r="M54" s="13"/>
      <c r="N54" s="12" t="s">
        <v>351</v>
      </c>
      <c r="O54" s="12" t="s">
        <v>152</v>
      </c>
      <c r="P54" s="10"/>
    </row>
    <row r="55" customFormat="false" ht="41.75" hidden="false" customHeight="false" outlineLevel="0" collapsed="false">
      <c r="A55" s="11" t="s">
        <v>352</v>
      </c>
      <c r="B55" s="12" t="s">
        <v>353</v>
      </c>
      <c r="C55" s="12" t="s">
        <v>318</v>
      </c>
      <c r="D55" s="12" t="s">
        <v>36</v>
      </c>
      <c r="E55" s="12" t="s">
        <v>37</v>
      </c>
      <c r="F55" s="12" t="s">
        <v>52</v>
      </c>
      <c r="G55" s="13"/>
      <c r="H55" s="13" t="n">
        <v>13</v>
      </c>
      <c r="I55" s="13" t="n">
        <v>0</v>
      </c>
      <c r="J55" s="13" t="n">
        <v>4</v>
      </c>
      <c r="K55" s="13" t="n">
        <v>3</v>
      </c>
      <c r="L55" s="14" t="s">
        <v>354</v>
      </c>
      <c r="M55" s="13"/>
      <c r="N55" s="11" t="s">
        <v>355</v>
      </c>
      <c r="O55" s="12" t="s">
        <v>152</v>
      </c>
      <c r="P55" s="10"/>
    </row>
    <row r="56" customFormat="false" ht="28.35" hidden="false" customHeight="false" outlineLevel="0" collapsed="false">
      <c r="A56" s="11" t="s">
        <v>356</v>
      </c>
      <c r="B56" s="12" t="s">
        <v>357</v>
      </c>
      <c r="C56" s="12" t="s">
        <v>318</v>
      </c>
      <c r="D56" s="12" t="s">
        <v>36</v>
      </c>
      <c r="E56" s="12" t="s">
        <v>358</v>
      </c>
      <c r="F56" s="12" t="s">
        <v>38</v>
      </c>
      <c r="G56" s="13" t="n">
        <v>22</v>
      </c>
      <c r="H56" s="13" t="n">
        <v>14</v>
      </c>
      <c r="I56" s="13" t="n">
        <v>0</v>
      </c>
      <c r="J56" s="13" t="n">
        <v>4</v>
      </c>
      <c r="K56" s="13" t="n">
        <v>3</v>
      </c>
      <c r="L56" s="14" t="s">
        <v>359</v>
      </c>
      <c r="M56" s="13"/>
      <c r="N56" s="12" t="s">
        <v>360</v>
      </c>
      <c r="O56" s="12" t="s">
        <v>152</v>
      </c>
      <c r="P56" s="10"/>
    </row>
    <row r="57" customFormat="false" ht="28.35" hidden="false" customHeight="false" outlineLevel="0" collapsed="false">
      <c r="A57" s="11" t="s">
        <v>361</v>
      </c>
      <c r="B57" s="12" t="s">
        <v>362</v>
      </c>
      <c r="C57" s="12" t="s">
        <v>318</v>
      </c>
      <c r="D57" s="12" t="s">
        <v>136</v>
      </c>
      <c r="E57" s="12" t="s">
        <v>182</v>
      </c>
      <c r="F57" s="12" t="s">
        <v>52</v>
      </c>
      <c r="G57" s="13"/>
      <c r="H57" s="13" t="n">
        <v>15</v>
      </c>
      <c r="I57" s="13" t="n">
        <v>0</v>
      </c>
      <c r="J57" s="13" t="n">
        <v>4</v>
      </c>
      <c r="K57" s="13" t="n">
        <v>3</v>
      </c>
      <c r="L57" s="14" t="s">
        <v>184</v>
      </c>
      <c r="M57" s="13"/>
      <c r="N57" s="12" t="s">
        <v>363</v>
      </c>
      <c r="O57" s="12" t="s">
        <v>152</v>
      </c>
      <c r="P57" s="10"/>
    </row>
    <row r="58" customFormat="false" ht="55.2" hidden="false" customHeight="false" outlineLevel="0" collapsed="false">
      <c r="A58" s="11" t="s">
        <v>364</v>
      </c>
      <c r="B58" s="12" t="s">
        <v>365</v>
      </c>
      <c r="C58" s="12" t="s">
        <v>318</v>
      </c>
      <c r="D58" s="12" t="s">
        <v>97</v>
      </c>
      <c r="E58" s="12" t="s">
        <v>117</v>
      </c>
      <c r="F58" s="12" t="s">
        <v>52</v>
      </c>
      <c r="G58" s="13"/>
      <c r="H58" s="13" t="n">
        <v>16</v>
      </c>
      <c r="I58" s="13" t="n">
        <v>0</v>
      </c>
      <c r="J58" s="13" t="n">
        <v>4</v>
      </c>
      <c r="K58" s="13" t="n">
        <v>3</v>
      </c>
      <c r="L58" s="14" t="s">
        <v>366</v>
      </c>
      <c r="M58" s="13"/>
      <c r="N58" s="12" t="s">
        <v>367</v>
      </c>
      <c r="O58" s="12" t="s">
        <v>152</v>
      </c>
      <c r="P58" s="10"/>
    </row>
    <row r="59" customFormat="false" ht="28.35" hidden="false" customHeight="false" outlineLevel="0" collapsed="false">
      <c r="A59" s="11" t="s">
        <v>368</v>
      </c>
      <c r="B59" s="12" t="s">
        <v>369</v>
      </c>
      <c r="C59" s="12" t="s">
        <v>318</v>
      </c>
      <c r="D59" s="12" t="s">
        <v>36</v>
      </c>
      <c r="E59" s="12" t="s">
        <v>137</v>
      </c>
      <c r="F59" s="12" t="s">
        <v>60</v>
      </c>
      <c r="G59" s="13" t="n">
        <v>12</v>
      </c>
      <c r="H59" s="13" t="n">
        <v>17</v>
      </c>
      <c r="I59" s="13" t="n">
        <v>0</v>
      </c>
      <c r="J59" s="13" t="n">
        <v>3</v>
      </c>
      <c r="K59" s="13" t="n">
        <v>2</v>
      </c>
      <c r="L59" s="14" t="s">
        <v>370</v>
      </c>
      <c r="M59" s="13"/>
      <c r="N59" s="12" t="s">
        <v>371</v>
      </c>
      <c r="O59" s="12" t="s">
        <v>152</v>
      </c>
      <c r="P59" s="10"/>
    </row>
    <row r="60" customFormat="false" ht="41.75" hidden="false" customHeight="false" outlineLevel="0" collapsed="false">
      <c r="A60" s="11" t="s">
        <v>372</v>
      </c>
      <c r="B60" s="12" t="s">
        <v>373</v>
      </c>
      <c r="C60" s="12" t="s">
        <v>318</v>
      </c>
      <c r="D60" s="12" t="s">
        <v>36</v>
      </c>
      <c r="E60" s="12" t="s">
        <v>182</v>
      </c>
      <c r="F60" s="12" t="s">
        <v>52</v>
      </c>
      <c r="G60" s="13"/>
      <c r="H60" s="13" t="n">
        <v>18</v>
      </c>
      <c r="I60" s="13" t="n">
        <v>0</v>
      </c>
      <c r="J60" s="13" t="n">
        <v>4</v>
      </c>
      <c r="K60" s="13" t="n">
        <v>3</v>
      </c>
      <c r="L60" s="14" t="s">
        <v>374</v>
      </c>
      <c r="M60" s="13"/>
      <c r="N60" s="12" t="s">
        <v>375</v>
      </c>
      <c r="O60" s="12" t="s">
        <v>152</v>
      </c>
      <c r="P60" s="10"/>
    </row>
    <row r="61" customFormat="false" ht="28.35" hidden="false" customHeight="false" outlineLevel="0" collapsed="false">
      <c r="A61" s="11" t="s">
        <v>376</v>
      </c>
      <c r="B61" s="12" t="s">
        <v>377</v>
      </c>
      <c r="C61" s="12" t="s">
        <v>318</v>
      </c>
      <c r="D61" s="12" t="s">
        <v>36</v>
      </c>
      <c r="E61" s="12" t="s">
        <v>182</v>
      </c>
      <c r="F61" s="12" t="s">
        <v>52</v>
      </c>
      <c r="G61" s="13"/>
      <c r="H61" s="13" t="n">
        <v>18</v>
      </c>
      <c r="I61" s="13" t="n">
        <v>0</v>
      </c>
      <c r="J61" s="13" t="n">
        <v>4</v>
      </c>
      <c r="K61" s="13" t="n">
        <v>3</v>
      </c>
      <c r="L61" s="14" t="s">
        <v>378</v>
      </c>
      <c r="M61" s="13"/>
      <c r="N61" s="12" t="s">
        <v>379</v>
      </c>
      <c r="O61" s="12" t="s">
        <v>152</v>
      </c>
      <c r="P61" s="10"/>
    </row>
    <row r="62" customFormat="false" ht="28.35" hidden="false" customHeight="false" outlineLevel="0" collapsed="false">
      <c r="A62" s="11" t="s">
        <v>380</v>
      </c>
      <c r="B62" s="12" t="s">
        <v>381</v>
      </c>
      <c r="C62" s="12" t="s">
        <v>318</v>
      </c>
      <c r="D62" s="12" t="s">
        <v>136</v>
      </c>
      <c r="E62" s="12" t="s">
        <v>67</v>
      </c>
      <c r="F62" s="12" t="s">
        <v>52</v>
      </c>
      <c r="G62" s="13"/>
      <c r="H62" s="13" t="n">
        <v>19</v>
      </c>
      <c r="I62" s="13" t="n">
        <v>0</v>
      </c>
      <c r="J62" s="13" t="n">
        <v>4</v>
      </c>
      <c r="K62" s="13" t="n">
        <v>3</v>
      </c>
      <c r="L62" s="14" t="s">
        <v>382</v>
      </c>
      <c r="M62" s="13"/>
      <c r="N62" s="11" t="s">
        <v>383</v>
      </c>
      <c r="O62" s="12" t="s">
        <v>152</v>
      </c>
      <c r="P62" s="10"/>
    </row>
    <row r="63" customFormat="false" ht="55.2" hidden="false" customHeight="false" outlineLevel="0" collapsed="false">
      <c r="A63" s="11" t="s">
        <v>384</v>
      </c>
      <c r="B63" s="12" t="s">
        <v>385</v>
      </c>
      <c r="C63" s="12" t="s">
        <v>318</v>
      </c>
      <c r="D63" s="12" t="s">
        <v>36</v>
      </c>
      <c r="E63" s="12" t="s">
        <v>67</v>
      </c>
      <c r="F63" s="12" t="s">
        <v>52</v>
      </c>
      <c r="G63" s="13"/>
      <c r="H63" s="13" t="n">
        <v>20</v>
      </c>
      <c r="I63" s="13" t="n">
        <v>0</v>
      </c>
      <c r="J63" s="13" t="n">
        <v>5</v>
      </c>
      <c r="K63" s="13" t="n">
        <v>4</v>
      </c>
      <c r="L63" s="14" t="s">
        <v>386</v>
      </c>
      <c r="M63" s="13"/>
      <c r="N63" s="11" t="s">
        <v>387</v>
      </c>
      <c r="O63" s="12" t="s">
        <v>152</v>
      </c>
      <c r="P63" s="10"/>
    </row>
  </sheetData>
  <autoFilter ref="A1:P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9" min="5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60"/>
    <col collapsed="false" customWidth="true" hidden="false" outlineLevel="0" max="15" min="15" style="0" width="40"/>
    <col collapsed="false" customWidth="true" hidden="false" outlineLevel="0" max="16" min="16" style="0" width="36"/>
  </cols>
  <sheetData>
    <row r="1" customFormat="false" ht="15" hidden="false" customHeight="false" outlineLevel="0" collapsed="false">
      <c r="A1" s="2" t="s">
        <v>388</v>
      </c>
      <c r="B1" s="15" t="n">
        <v>2.5</v>
      </c>
      <c r="C1" s="2" t="s">
        <v>389</v>
      </c>
      <c r="D1" s="15" t="n">
        <v>2</v>
      </c>
    </row>
    <row r="3" customFormat="false" ht="15" hidden="false" customHeight="false" outlineLevel="0" collapsed="false">
      <c r="A3" s="4" t="s">
        <v>17</v>
      </c>
      <c r="B3" s="5" t="s">
        <v>18</v>
      </c>
      <c r="C3" s="5" t="s">
        <v>20</v>
      </c>
      <c r="D3" s="5" t="s">
        <v>390</v>
      </c>
      <c r="E3" s="5" t="s">
        <v>391</v>
      </c>
      <c r="F3" s="5" t="s">
        <v>392</v>
      </c>
      <c r="G3" s="5" t="s">
        <v>393</v>
      </c>
      <c r="H3" s="5" t="s">
        <v>394</v>
      </c>
      <c r="I3" s="5" t="s">
        <v>395</v>
      </c>
      <c r="J3" s="5" t="s">
        <v>396</v>
      </c>
      <c r="K3" s="5" t="s">
        <v>397</v>
      </c>
      <c r="L3" s="5" t="s">
        <v>398</v>
      </c>
      <c r="M3" s="5" t="s">
        <v>399</v>
      </c>
      <c r="N3" s="5" t="s">
        <v>400</v>
      </c>
      <c r="O3" s="5" t="s">
        <v>401</v>
      </c>
      <c r="P3" s="5" t="s">
        <v>32</v>
      </c>
    </row>
    <row r="4" customFormat="false" ht="95.5" hidden="false" customHeight="false" outlineLevel="0" collapsed="false">
      <c r="A4" s="6" t="s">
        <v>402</v>
      </c>
      <c r="B4" s="7" t="s">
        <v>403</v>
      </c>
      <c r="C4" s="7" t="s">
        <v>404</v>
      </c>
      <c r="D4" s="8" t="n">
        <v>38</v>
      </c>
      <c r="E4" s="7" t="n">
        <f aca="false">ROUND(D4*$B$1,0)</f>
        <v>95</v>
      </c>
      <c r="F4" s="8" t="n">
        <v>2.6</v>
      </c>
      <c r="G4" s="8" t="n">
        <v>1</v>
      </c>
      <c r="H4" s="8" t="n">
        <v>1</v>
      </c>
      <c r="I4" s="8" t="n">
        <v>10</v>
      </c>
      <c r="J4" s="8" t="s">
        <v>405</v>
      </c>
      <c r="K4" s="8" t="n">
        <v>1</v>
      </c>
      <c r="L4" s="7" t="n">
        <f aca="false">K4*$D$1</f>
        <v>2</v>
      </c>
      <c r="M4" s="8" t="n">
        <v>1</v>
      </c>
      <c r="N4" s="7" t="s">
        <v>406</v>
      </c>
      <c r="O4" s="6" t="s">
        <v>407</v>
      </c>
      <c r="P4" s="10"/>
    </row>
    <row r="5" customFormat="false" ht="135.8" hidden="false" customHeight="false" outlineLevel="0" collapsed="false">
      <c r="A5" s="6" t="s">
        <v>408</v>
      </c>
      <c r="B5" s="7" t="s">
        <v>409</v>
      </c>
      <c r="C5" s="7" t="s">
        <v>404</v>
      </c>
      <c r="D5" s="8" t="n">
        <v>52</v>
      </c>
      <c r="E5" s="7" t="n">
        <f aca="false">ROUND(D5*$B$1,0)</f>
        <v>130</v>
      </c>
      <c r="F5" s="8" t="n">
        <v>3.2</v>
      </c>
      <c r="G5" s="8" t="n">
        <v>1</v>
      </c>
      <c r="H5" s="8" t="n">
        <v>1</v>
      </c>
      <c r="I5" s="8" t="n">
        <v>6.5</v>
      </c>
      <c r="J5" s="8"/>
      <c r="K5" s="8" t="n">
        <v>1.5</v>
      </c>
      <c r="L5" s="7" t="n">
        <f aca="false">K5*$D$1</f>
        <v>3</v>
      </c>
      <c r="M5" s="8" t="n">
        <v>2</v>
      </c>
      <c r="N5" s="7" t="s">
        <v>410</v>
      </c>
      <c r="O5" s="6" t="s">
        <v>411</v>
      </c>
      <c r="P5" s="10"/>
    </row>
    <row r="6" customFormat="false" ht="122.35" hidden="false" customHeight="false" outlineLevel="0" collapsed="false">
      <c r="A6" s="6" t="s">
        <v>412</v>
      </c>
      <c r="B6" s="7" t="s">
        <v>413</v>
      </c>
      <c r="C6" s="7" t="s">
        <v>404</v>
      </c>
      <c r="D6" s="8" t="n">
        <v>46</v>
      </c>
      <c r="E6" s="7" t="n">
        <f aca="false">ROUND(D6*$B$1,0)</f>
        <v>115</v>
      </c>
      <c r="F6" s="8" t="n">
        <v>2.2</v>
      </c>
      <c r="G6" s="8" t="n">
        <v>1</v>
      </c>
      <c r="H6" s="8" t="n">
        <v>1</v>
      </c>
      <c r="I6" s="8" t="n">
        <v>8.5</v>
      </c>
      <c r="J6" s="8" t="s">
        <v>414</v>
      </c>
      <c r="K6" s="8" t="n">
        <v>1.5</v>
      </c>
      <c r="L6" s="7" t="n">
        <f aca="false">K6*$D$1</f>
        <v>3</v>
      </c>
      <c r="M6" s="8" t="n">
        <v>2</v>
      </c>
      <c r="N6" s="7" t="s">
        <v>415</v>
      </c>
      <c r="O6" s="6" t="s">
        <v>416</v>
      </c>
      <c r="P6" s="10"/>
    </row>
    <row r="7" customFormat="false" ht="270.1" hidden="false" customHeight="false" outlineLevel="0" collapsed="false">
      <c r="A7" s="6" t="s">
        <v>417</v>
      </c>
      <c r="B7" s="7" t="s">
        <v>418</v>
      </c>
      <c r="C7" s="7" t="s">
        <v>404</v>
      </c>
      <c r="D7" s="8" t="n">
        <v>64</v>
      </c>
      <c r="E7" s="7" t="n">
        <f aca="false">ROUND(D7*$B$1,0)</f>
        <v>160</v>
      </c>
      <c r="F7" s="8" t="n">
        <v>2</v>
      </c>
      <c r="G7" s="8" t="n">
        <v>1</v>
      </c>
      <c r="H7" s="8" t="n">
        <v>1</v>
      </c>
      <c r="I7" s="8" t="n">
        <v>6</v>
      </c>
      <c r="J7" s="8"/>
      <c r="K7" s="8" t="n">
        <v>1.5</v>
      </c>
      <c r="L7" s="7" t="n">
        <f aca="false">K7*$D$1</f>
        <v>3</v>
      </c>
      <c r="M7" s="8" t="n">
        <v>2</v>
      </c>
      <c r="N7" s="7" t="s">
        <v>419</v>
      </c>
      <c r="O7" s="6" t="s">
        <v>420</v>
      </c>
      <c r="P7" s="10"/>
    </row>
    <row r="8" customFormat="false" ht="243.25" hidden="false" customHeight="false" outlineLevel="0" collapsed="false">
      <c r="A8" s="6" t="s">
        <v>421</v>
      </c>
      <c r="B8" s="7" t="s">
        <v>422</v>
      </c>
      <c r="C8" s="7" t="s">
        <v>423</v>
      </c>
      <c r="D8" s="8" t="n">
        <v>44</v>
      </c>
      <c r="E8" s="7" t="n">
        <f aca="false">ROUND(D8*$B$1,0)</f>
        <v>110</v>
      </c>
      <c r="F8" s="8" t="n">
        <v>2.6</v>
      </c>
      <c r="G8" s="8" t="n">
        <v>0</v>
      </c>
      <c r="H8" s="8"/>
      <c r="I8" s="8"/>
      <c r="J8" s="8"/>
      <c r="K8" s="8" t="n">
        <v>1.5</v>
      </c>
      <c r="L8" s="7" t="n">
        <f aca="false">K8*$D$1</f>
        <v>3</v>
      </c>
      <c r="M8" s="8" t="n">
        <v>2</v>
      </c>
      <c r="N8" s="7" t="s">
        <v>424</v>
      </c>
      <c r="O8" s="6" t="s">
        <v>425</v>
      </c>
      <c r="P8" s="10"/>
    </row>
    <row r="9" customFormat="false" ht="122.35" hidden="false" customHeight="false" outlineLevel="0" collapsed="false">
      <c r="A9" s="6" t="s">
        <v>426</v>
      </c>
      <c r="B9" s="7" t="s">
        <v>427</v>
      </c>
      <c r="C9" s="7" t="s">
        <v>423</v>
      </c>
      <c r="D9" s="8" t="n">
        <v>26</v>
      </c>
      <c r="E9" s="7" t="n">
        <f aca="false">ROUND(D9*$B$1,0)</f>
        <v>65</v>
      </c>
      <c r="F9" s="8" t="n">
        <v>6.5</v>
      </c>
      <c r="G9" s="8" t="n">
        <v>1</v>
      </c>
      <c r="H9" s="8"/>
      <c r="I9" s="8"/>
      <c r="J9" s="8"/>
      <c r="K9" s="8" t="n">
        <v>1</v>
      </c>
      <c r="L9" s="7" t="n">
        <f aca="false">K9*$D$1</f>
        <v>2</v>
      </c>
      <c r="M9" s="8" t="n">
        <v>1</v>
      </c>
      <c r="N9" s="7" t="s">
        <v>428</v>
      </c>
      <c r="O9" s="6" t="s">
        <v>429</v>
      </c>
      <c r="P9" s="10"/>
    </row>
    <row r="10" customFormat="false" ht="95.5" hidden="false" customHeight="false" outlineLevel="0" collapsed="false">
      <c r="A10" s="6" t="s">
        <v>430</v>
      </c>
      <c r="B10" s="7" t="s">
        <v>431</v>
      </c>
      <c r="C10" s="7" t="s">
        <v>404</v>
      </c>
      <c r="D10" s="8" t="n">
        <v>58</v>
      </c>
      <c r="E10" s="7" t="n">
        <f aca="false">ROUND(D10*$B$1,0)</f>
        <v>145</v>
      </c>
      <c r="F10" s="8" t="n">
        <v>2.2</v>
      </c>
      <c r="G10" s="8" t="n">
        <v>1</v>
      </c>
      <c r="H10" s="8" t="n">
        <v>1</v>
      </c>
      <c r="I10" s="8" t="n">
        <v>6</v>
      </c>
      <c r="J10" s="8" t="s">
        <v>432</v>
      </c>
      <c r="K10" s="8" t="n">
        <v>1</v>
      </c>
      <c r="L10" s="7" t="n">
        <f aca="false">K10*$D$1</f>
        <v>2</v>
      </c>
      <c r="M10" s="8" t="n">
        <v>2</v>
      </c>
      <c r="N10" s="7" t="s">
        <v>433</v>
      </c>
      <c r="O10" s="6" t="s">
        <v>434</v>
      </c>
      <c r="P10" s="10"/>
    </row>
    <row r="11" customFormat="false" ht="122.35" hidden="false" customHeight="false" outlineLevel="0" collapsed="false">
      <c r="A11" s="6" t="s">
        <v>435</v>
      </c>
      <c r="B11" s="7" t="s">
        <v>436</v>
      </c>
      <c r="C11" s="7" t="s">
        <v>404</v>
      </c>
      <c r="D11" s="8" t="n">
        <v>90</v>
      </c>
      <c r="E11" s="7" t="n">
        <f aca="false">ROUND(D11*$B$1,0)</f>
        <v>225</v>
      </c>
      <c r="F11" s="8" t="n">
        <v>2.4</v>
      </c>
      <c r="G11" s="8" t="n">
        <v>1</v>
      </c>
      <c r="H11" s="8"/>
      <c r="I11" s="8"/>
      <c r="J11" s="8"/>
      <c r="K11" s="8" t="n">
        <v>1.5</v>
      </c>
      <c r="L11" s="7" t="n">
        <f aca="false">K11*$D$1</f>
        <v>3</v>
      </c>
      <c r="M11" s="8" t="n">
        <v>2</v>
      </c>
      <c r="N11" s="7" t="s">
        <v>437</v>
      </c>
      <c r="O11" s="6" t="s">
        <v>438</v>
      </c>
      <c r="P11" s="10"/>
    </row>
    <row r="12" customFormat="false" ht="68.65" hidden="false" customHeight="false" outlineLevel="0" collapsed="false">
      <c r="A12" s="6" t="s">
        <v>439</v>
      </c>
      <c r="B12" s="7" t="s">
        <v>409</v>
      </c>
      <c r="C12" s="7" t="s">
        <v>440</v>
      </c>
      <c r="D12" s="8" t="n">
        <v>14</v>
      </c>
      <c r="E12" s="7" t="n">
        <f aca="false">ROUND(D12*$B$1,0)</f>
        <v>35</v>
      </c>
      <c r="F12" s="8" t="n">
        <v>4.2</v>
      </c>
      <c r="G12" s="8" t="n">
        <v>1</v>
      </c>
      <c r="H12" s="8"/>
      <c r="I12" s="8"/>
      <c r="J12" s="8"/>
      <c r="K12" s="8" t="n">
        <v>0.5</v>
      </c>
      <c r="L12" s="7" t="n">
        <f aca="false">K12*$D$1</f>
        <v>1</v>
      </c>
      <c r="M12" s="8" t="n">
        <v>1</v>
      </c>
      <c r="N12" s="7"/>
      <c r="O12" s="6" t="s">
        <v>441</v>
      </c>
      <c r="P12" s="10"/>
    </row>
    <row r="13" customFormat="false" ht="228.35" hidden="false" customHeight="false" outlineLevel="0" collapsed="false">
      <c r="A13" s="11" t="s">
        <v>442</v>
      </c>
      <c r="B13" s="12" t="s">
        <v>443</v>
      </c>
      <c r="C13" s="12" t="s">
        <v>444</v>
      </c>
      <c r="D13" s="13" t="n">
        <v>900</v>
      </c>
      <c r="E13" s="12" t="s">
        <v>445</v>
      </c>
      <c r="F13" s="13" t="n">
        <v>0.8</v>
      </c>
      <c r="G13" s="13" t="n">
        <v>1</v>
      </c>
      <c r="H13" s="13" t="n">
        <v>1</v>
      </c>
      <c r="I13" s="13" t="n">
        <v>7</v>
      </c>
      <c r="J13" s="13"/>
      <c r="K13" s="13" t="n">
        <v>4</v>
      </c>
      <c r="L13" s="11" t="s">
        <v>446</v>
      </c>
      <c r="M13" s="13"/>
      <c r="N13" s="12" t="s">
        <v>447</v>
      </c>
      <c r="O13" s="11" t="s">
        <v>448</v>
      </c>
      <c r="P13" s="10"/>
    </row>
    <row r="14" customFormat="false" ht="174.6" hidden="false" customHeight="false" outlineLevel="0" collapsed="false">
      <c r="A14" s="11" t="s">
        <v>449</v>
      </c>
      <c r="B14" s="12" t="s">
        <v>450</v>
      </c>
      <c r="C14" s="12" t="s">
        <v>444</v>
      </c>
      <c r="D14" s="13" t="n">
        <v>1000</v>
      </c>
      <c r="E14" s="12" t="s">
        <v>445</v>
      </c>
      <c r="F14" s="13" t="n">
        <v>2.2</v>
      </c>
      <c r="G14" s="13" t="n">
        <v>1</v>
      </c>
      <c r="H14" s="13" t="n">
        <v>1</v>
      </c>
      <c r="I14" s="13" t="n">
        <v>8</v>
      </c>
      <c r="J14" s="13"/>
      <c r="K14" s="13" t="n">
        <v>4</v>
      </c>
      <c r="L14" s="11" t="s">
        <v>446</v>
      </c>
      <c r="M14" s="13"/>
      <c r="N14" s="12" t="s">
        <v>451</v>
      </c>
      <c r="O14" s="11" t="s">
        <v>452</v>
      </c>
      <c r="P14" s="10"/>
    </row>
    <row r="15" customFormat="false" ht="108.95" hidden="false" customHeight="false" outlineLevel="0" collapsed="false">
      <c r="A15" s="11" t="s">
        <v>453</v>
      </c>
      <c r="B15" s="12" t="s">
        <v>454</v>
      </c>
      <c r="C15" s="12" t="s">
        <v>444</v>
      </c>
      <c r="D15" s="13" t="n">
        <v>1300</v>
      </c>
      <c r="E15" s="12" t="s">
        <v>445</v>
      </c>
      <c r="F15" s="13" t="n">
        <v>0</v>
      </c>
      <c r="G15" s="13" t="n">
        <v>1</v>
      </c>
      <c r="H15" s="13" t="n">
        <v>1</v>
      </c>
      <c r="I15" s="13" t="n">
        <v>6.5</v>
      </c>
      <c r="J15" s="13"/>
      <c r="K15" s="13" t="n">
        <v>4</v>
      </c>
      <c r="L15" s="11" t="s">
        <v>446</v>
      </c>
      <c r="M15" s="13"/>
      <c r="N15" s="12" t="s">
        <v>455</v>
      </c>
      <c r="O15" s="11" t="s">
        <v>456</v>
      </c>
      <c r="P15" s="10"/>
    </row>
    <row r="16" customFormat="false" ht="331.3" hidden="false" customHeight="false" outlineLevel="0" collapsed="false">
      <c r="A16" s="11" t="s">
        <v>457</v>
      </c>
      <c r="B16" s="12" t="s">
        <v>458</v>
      </c>
      <c r="C16" s="12" t="s">
        <v>444</v>
      </c>
      <c r="D16" s="13" t="n">
        <v>1100</v>
      </c>
      <c r="E16" s="12" t="s">
        <v>445</v>
      </c>
      <c r="F16" s="13" t="n">
        <v>1.4</v>
      </c>
      <c r="G16" s="13" t="n">
        <v>1</v>
      </c>
      <c r="H16" s="13" t="n">
        <v>1</v>
      </c>
      <c r="I16" s="13" t="n">
        <v>7</v>
      </c>
      <c r="J16" s="13"/>
      <c r="K16" s="13" t="n">
        <v>4</v>
      </c>
      <c r="L16" s="11" t="s">
        <v>446</v>
      </c>
      <c r="M16" s="13"/>
      <c r="N16" s="12" t="s">
        <v>459</v>
      </c>
      <c r="O16" s="11" t="s">
        <v>460</v>
      </c>
      <c r="P16" s="10"/>
    </row>
    <row r="17" customFormat="false" ht="252.2" hidden="false" customHeight="false" outlineLevel="0" collapsed="false">
      <c r="A17" s="11" t="s">
        <v>461</v>
      </c>
      <c r="B17" s="12" t="s">
        <v>462</v>
      </c>
      <c r="C17" s="12" t="s">
        <v>444</v>
      </c>
      <c r="D17" s="13" t="n">
        <v>1300</v>
      </c>
      <c r="E17" s="12" t="s">
        <v>445</v>
      </c>
      <c r="F17" s="13" t="n">
        <v>0</v>
      </c>
      <c r="G17" s="13" t="n">
        <v>1</v>
      </c>
      <c r="H17" s="13" t="n">
        <v>1</v>
      </c>
      <c r="I17" s="13" t="n">
        <v>7</v>
      </c>
      <c r="J17" s="13"/>
      <c r="K17" s="13" t="n">
        <v>5</v>
      </c>
      <c r="L17" s="11" t="s">
        <v>446</v>
      </c>
      <c r="M17" s="13"/>
      <c r="N17" s="12" t="s">
        <v>463</v>
      </c>
      <c r="O17" s="11" t="s">
        <v>464</v>
      </c>
      <c r="P17" s="10"/>
    </row>
    <row r="18" customFormat="false" ht="381.3" hidden="false" customHeight="false" outlineLevel="0" collapsed="false">
      <c r="A18" s="11" t="s">
        <v>465</v>
      </c>
      <c r="B18" s="12" t="s">
        <v>466</v>
      </c>
      <c r="C18" s="12" t="s">
        <v>444</v>
      </c>
      <c r="D18" s="13" t="n">
        <v>1300</v>
      </c>
      <c r="E18" s="12" t="s">
        <v>445</v>
      </c>
      <c r="F18" s="13" t="n">
        <v>0</v>
      </c>
      <c r="G18" s="13" t="n">
        <v>1</v>
      </c>
      <c r="H18" s="13" t="n">
        <v>1</v>
      </c>
      <c r="I18" s="13"/>
      <c r="J18" s="13"/>
      <c r="K18" s="13" t="n">
        <v>4</v>
      </c>
      <c r="L18" s="11" t="s">
        <v>446</v>
      </c>
      <c r="M18" s="13"/>
      <c r="N18" s="12" t="s">
        <v>467</v>
      </c>
      <c r="O18" s="11" t="s">
        <v>468</v>
      </c>
      <c r="P18" s="10"/>
    </row>
    <row r="19" customFormat="false" ht="15" hidden="false" customHeight="false" outlineLevel="0" collapsed="false">
      <c r="A19" s="6" t="s">
        <v>469</v>
      </c>
      <c r="B19" s="7" t="s">
        <v>470</v>
      </c>
      <c r="C19" s="7" t="s">
        <v>404</v>
      </c>
      <c r="D19" s="8" t="n">
        <v>45</v>
      </c>
      <c r="E19" s="7" t="n">
        <f aca="false">ROUND(D19*$B$1,0)</f>
        <v>113</v>
      </c>
      <c r="F19" s="8" t="n">
        <v>0</v>
      </c>
      <c r="G19" s="8" t="n">
        <v>0</v>
      </c>
      <c r="H19" s="8"/>
      <c r="I19" s="8"/>
      <c r="J19" s="8"/>
      <c r="K19" s="8" t="n">
        <v>0.5</v>
      </c>
      <c r="L19" s="7" t="n">
        <f aca="false">K19*$D$1</f>
        <v>1</v>
      </c>
      <c r="M19" s="8" t="n">
        <v>0</v>
      </c>
      <c r="N19" s="7"/>
      <c r="O19" s="6" t="s">
        <v>471</v>
      </c>
      <c r="P1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7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40"/>
    <col collapsed="false" customWidth="true" hidden="false" outlineLevel="0" max="15" min="15" style="0" width="36"/>
  </cols>
  <sheetData>
    <row r="1" customFormat="false" ht="31.5" hidden="false" customHeight="true" outlineLevel="0" collapsed="false">
      <c r="A1" s="4" t="s">
        <v>17</v>
      </c>
      <c r="B1" s="5" t="s">
        <v>18</v>
      </c>
      <c r="C1" s="5" t="s">
        <v>24</v>
      </c>
      <c r="D1" s="5" t="s">
        <v>472</v>
      </c>
      <c r="E1" s="5" t="s">
        <v>473</v>
      </c>
      <c r="F1" s="5" t="s">
        <v>474</v>
      </c>
      <c r="G1" s="5" t="s">
        <v>396</v>
      </c>
      <c r="H1" s="5" t="s">
        <v>475</v>
      </c>
      <c r="I1" s="5" t="s">
        <v>476</v>
      </c>
      <c r="J1" s="5" t="s">
        <v>395</v>
      </c>
      <c r="K1" s="5" t="s">
        <v>477</v>
      </c>
      <c r="L1" s="5" t="s">
        <v>478</v>
      </c>
      <c r="M1" s="5" t="s">
        <v>479</v>
      </c>
      <c r="N1" s="5" t="s">
        <v>480</v>
      </c>
      <c r="O1" s="5" t="s">
        <v>32</v>
      </c>
    </row>
    <row r="2" customFormat="false" ht="15" hidden="false" customHeight="false" outlineLevel="0" collapsed="false">
      <c r="A2" s="6" t="s">
        <v>481</v>
      </c>
      <c r="B2" s="7" t="s">
        <v>482</v>
      </c>
      <c r="C2" s="8" t="n">
        <v>1</v>
      </c>
      <c r="D2" s="7" t="s">
        <v>483</v>
      </c>
      <c r="E2" s="8" t="n">
        <v>10</v>
      </c>
      <c r="F2" s="8" t="n">
        <v>1</v>
      </c>
      <c r="G2" s="8" t="n">
        <v>0.12</v>
      </c>
      <c r="H2" s="8" t="n">
        <v>12</v>
      </c>
      <c r="I2" s="8" t="n">
        <v>1.1</v>
      </c>
      <c r="J2" s="8" t="n">
        <v>28</v>
      </c>
      <c r="K2" s="8" t="n">
        <v>0.8</v>
      </c>
      <c r="L2" s="8" t="n">
        <v>0.035</v>
      </c>
      <c r="M2" s="7" t="n">
        <f aca="false">ROUND(E2*F2/G2,1)</f>
        <v>83.3</v>
      </c>
      <c r="N2" s="7"/>
      <c r="O2" s="10"/>
    </row>
    <row r="3" customFormat="false" ht="15" hidden="false" customHeight="false" outlineLevel="0" collapsed="false">
      <c r="A3" s="6" t="s">
        <v>484</v>
      </c>
      <c r="B3" s="7" t="s">
        <v>485</v>
      </c>
      <c r="C3" s="8" t="n">
        <v>3</v>
      </c>
      <c r="D3" s="7" t="s">
        <v>486</v>
      </c>
      <c r="E3" s="8" t="n">
        <v>5</v>
      </c>
      <c r="F3" s="8" t="n">
        <v>1</v>
      </c>
      <c r="G3" s="8" t="n">
        <v>0.09</v>
      </c>
      <c r="H3" s="8" t="n">
        <v>26</v>
      </c>
      <c r="I3" s="8" t="n">
        <v>1.4</v>
      </c>
      <c r="J3" s="8" t="n">
        <v>34</v>
      </c>
      <c r="K3" s="8" t="n">
        <v>0.7</v>
      </c>
      <c r="L3" s="8" t="n">
        <v>0.06</v>
      </c>
      <c r="M3" s="7" t="n">
        <f aca="false">ROUND(E3*F3/G3,1)</f>
        <v>55.6</v>
      </c>
      <c r="N3" s="7"/>
      <c r="O3" s="10"/>
    </row>
    <row r="4" customFormat="false" ht="68.65" hidden="false" customHeight="false" outlineLevel="0" collapsed="false">
      <c r="A4" s="6" t="s">
        <v>487</v>
      </c>
      <c r="B4" s="7" t="s">
        <v>488</v>
      </c>
      <c r="C4" s="8" t="n">
        <v>5</v>
      </c>
      <c r="D4" s="7" t="s">
        <v>489</v>
      </c>
      <c r="E4" s="8" t="n">
        <v>15</v>
      </c>
      <c r="F4" s="8" t="n">
        <v>1</v>
      </c>
      <c r="G4" s="8" t="n">
        <v>0.62</v>
      </c>
      <c r="H4" s="8" t="n">
        <v>6</v>
      </c>
      <c r="I4" s="8" t="n">
        <v>1.2</v>
      </c>
      <c r="J4" s="8" t="n">
        <v>17</v>
      </c>
      <c r="K4" s="8" t="n">
        <v>0.5</v>
      </c>
      <c r="L4" s="8" t="n">
        <v>0</v>
      </c>
      <c r="M4" s="7" t="n">
        <f aca="false">ROUND(E4*F4/G4,1)</f>
        <v>24.2</v>
      </c>
      <c r="N4" s="7" t="s">
        <v>490</v>
      </c>
      <c r="O4" s="10"/>
    </row>
    <row r="5" customFormat="false" ht="28.35" hidden="false" customHeight="false" outlineLevel="0" collapsed="false">
      <c r="A5" s="6" t="s">
        <v>491</v>
      </c>
      <c r="B5" s="7" t="s">
        <v>492</v>
      </c>
      <c r="C5" s="8" t="n">
        <v>7</v>
      </c>
      <c r="D5" s="7" t="s">
        <v>493</v>
      </c>
      <c r="E5" s="8" t="n">
        <v>12</v>
      </c>
      <c r="F5" s="8" t="n">
        <v>3</v>
      </c>
      <c r="G5" s="8" t="n">
        <v>0.5</v>
      </c>
      <c r="H5" s="8" t="n">
        <v>18</v>
      </c>
      <c r="I5" s="8" t="n">
        <v>1.3</v>
      </c>
      <c r="J5" s="8" t="n">
        <v>30</v>
      </c>
      <c r="K5" s="8" t="n">
        <v>0.7</v>
      </c>
      <c r="L5" s="8" t="n">
        <v>0.025</v>
      </c>
      <c r="M5" s="7" t="n">
        <f aca="false">ROUND(E5*F5/G5,1)</f>
        <v>72</v>
      </c>
      <c r="N5" s="7" t="s">
        <v>494</v>
      </c>
      <c r="O5" s="10"/>
    </row>
    <row r="6" customFormat="false" ht="55.2" hidden="false" customHeight="false" outlineLevel="0" collapsed="false">
      <c r="A6" s="6" t="s">
        <v>495</v>
      </c>
      <c r="B6" s="7" t="s">
        <v>496</v>
      </c>
      <c r="C6" s="8" t="n">
        <v>9</v>
      </c>
      <c r="D6" s="7" t="s">
        <v>497</v>
      </c>
      <c r="E6" s="8" t="n">
        <v>5</v>
      </c>
      <c r="F6" s="8" t="n">
        <v>1</v>
      </c>
      <c r="G6" s="8" t="n">
        <v>0.1</v>
      </c>
      <c r="H6" s="8" t="n">
        <v>30</v>
      </c>
      <c r="I6" s="8" t="n">
        <v>3</v>
      </c>
      <c r="J6" s="8" t="s">
        <v>446</v>
      </c>
      <c r="K6" s="8" t="s">
        <v>446</v>
      </c>
      <c r="L6" s="8" t="n">
        <v>0</v>
      </c>
      <c r="M6" s="7" t="n">
        <f aca="false">ROUND(E6*F6/G6,1)</f>
        <v>50</v>
      </c>
      <c r="N6" s="7" t="s">
        <v>498</v>
      </c>
      <c r="O6" s="10"/>
    </row>
    <row r="7" customFormat="false" ht="82.05" hidden="false" customHeight="false" outlineLevel="0" collapsed="false">
      <c r="A7" s="6" t="s">
        <v>430</v>
      </c>
      <c r="B7" s="7" t="s">
        <v>499</v>
      </c>
      <c r="C7" s="8" t="n">
        <v>12</v>
      </c>
      <c r="D7" s="7" t="s">
        <v>500</v>
      </c>
      <c r="E7" s="8" t="n">
        <v>20</v>
      </c>
      <c r="F7" s="8" t="n">
        <v>1</v>
      </c>
      <c r="G7" s="8" t="n">
        <v>1.8</v>
      </c>
      <c r="H7" s="8" t="s">
        <v>446</v>
      </c>
      <c r="I7" s="8" t="s">
        <v>446</v>
      </c>
      <c r="J7" s="8" t="n">
        <v>20</v>
      </c>
      <c r="K7" s="8" t="n">
        <v>0.38</v>
      </c>
      <c r="L7" s="8" t="n">
        <v>0</v>
      </c>
      <c r="M7" s="7" t="n">
        <f aca="false">ROUND(E7*F7/G7,1)</f>
        <v>11.1</v>
      </c>
      <c r="N7" s="7" t="s">
        <v>501</v>
      </c>
      <c r="O7" s="10"/>
    </row>
    <row r="8" customFormat="false" ht="28.35" hidden="false" customHeight="false" outlineLevel="0" collapsed="false">
      <c r="A8" s="6" t="s">
        <v>502</v>
      </c>
      <c r="B8" s="7" t="s">
        <v>503</v>
      </c>
      <c r="C8" s="8" t="n">
        <v>15</v>
      </c>
      <c r="D8" s="7" t="s">
        <v>504</v>
      </c>
      <c r="E8" s="8" t="n">
        <v>5</v>
      </c>
      <c r="F8" s="8" t="n">
        <v>1</v>
      </c>
      <c r="G8" s="8" t="n">
        <v>0.15</v>
      </c>
      <c r="H8" s="8" t="n">
        <v>16</v>
      </c>
      <c r="I8" s="8" t="n">
        <v>1.2</v>
      </c>
      <c r="J8" s="8" t="n">
        <v>27</v>
      </c>
      <c r="K8" s="8" t="n">
        <v>0.8</v>
      </c>
      <c r="L8" s="8" t="n">
        <v>0.04</v>
      </c>
      <c r="M8" s="7" t="n">
        <f aca="false">ROUND(E8*F8/G8,1)</f>
        <v>33.3</v>
      </c>
      <c r="N8" s="7" t="s">
        <v>505</v>
      </c>
      <c r="O8" s="10"/>
    </row>
    <row r="9" customFormat="false" ht="15" hidden="false" customHeight="false" outlineLevel="0" collapsed="false">
      <c r="A9" s="6" t="s">
        <v>506</v>
      </c>
      <c r="B9" s="7" t="s">
        <v>507</v>
      </c>
      <c r="C9" s="8" t="n">
        <v>18</v>
      </c>
      <c r="D9" s="7" t="s">
        <v>508</v>
      </c>
      <c r="E9" s="8" t="n">
        <v>15</v>
      </c>
      <c r="F9" s="8" t="n">
        <v>1</v>
      </c>
      <c r="G9" s="8" t="n">
        <v>0.1</v>
      </c>
      <c r="H9" s="8" t="n">
        <v>1</v>
      </c>
      <c r="I9" s="8" t="n">
        <v>0.5</v>
      </c>
      <c r="J9" s="8" t="n">
        <v>30</v>
      </c>
      <c r="K9" s="8" t="n">
        <v>1.1</v>
      </c>
      <c r="L9" s="8" t="n">
        <v>0</v>
      </c>
      <c r="M9" s="7" t="n">
        <f aca="false">ROUND(E9*F9/G9,1)</f>
        <v>150</v>
      </c>
      <c r="N9" s="7"/>
      <c r="O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4" t="s">
        <v>509</v>
      </c>
      <c r="B1" s="5" t="s">
        <v>18</v>
      </c>
      <c r="C1" s="5" t="s">
        <v>510</v>
      </c>
      <c r="D1" s="5" t="s">
        <v>511</v>
      </c>
      <c r="E1" s="5" t="s">
        <v>512</v>
      </c>
      <c r="F1" s="5" t="s">
        <v>32</v>
      </c>
    </row>
    <row r="2" customFormat="false" ht="82.05" hidden="false" customHeight="false" outlineLevel="0" collapsed="false">
      <c r="A2" s="6" t="s">
        <v>513</v>
      </c>
      <c r="B2" s="7" t="s">
        <v>514</v>
      </c>
      <c r="C2" s="7" t="s">
        <v>515</v>
      </c>
      <c r="D2" s="7" t="s">
        <v>516</v>
      </c>
      <c r="E2" s="9" t="s">
        <v>517</v>
      </c>
      <c r="F2" s="10"/>
    </row>
    <row r="3" customFormat="false" ht="41.75" hidden="false" customHeight="false" outlineLevel="0" collapsed="false">
      <c r="A3" s="6" t="s">
        <v>518</v>
      </c>
      <c r="B3" s="7" t="s">
        <v>519</v>
      </c>
      <c r="C3" s="7" t="s">
        <v>520</v>
      </c>
      <c r="D3" s="7" t="s">
        <v>521</v>
      </c>
      <c r="E3" s="9" t="s">
        <v>522</v>
      </c>
      <c r="F3" s="10"/>
    </row>
    <row r="4" customFormat="false" ht="95.5" hidden="false" customHeight="false" outlineLevel="0" collapsed="false">
      <c r="A4" s="6" t="s">
        <v>523</v>
      </c>
      <c r="B4" s="7" t="s">
        <v>524</v>
      </c>
      <c r="C4" s="7" t="s">
        <v>525</v>
      </c>
      <c r="D4" s="7" t="s">
        <v>526</v>
      </c>
      <c r="E4" s="9" t="s">
        <v>527</v>
      </c>
      <c r="F4" s="10"/>
    </row>
    <row r="5" customFormat="false" ht="68.65" hidden="false" customHeight="false" outlineLevel="0" collapsed="false">
      <c r="A5" s="6" t="s">
        <v>528</v>
      </c>
      <c r="B5" s="7" t="s">
        <v>529</v>
      </c>
      <c r="C5" s="7" t="s">
        <v>82</v>
      </c>
      <c r="D5" s="7" t="s">
        <v>530</v>
      </c>
      <c r="E5" s="9" t="s">
        <v>531</v>
      </c>
      <c r="F5" s="10"/>
    </row>
    <row r="6" customFormat="false" ht="108.95" hidden="false" customHeight="false" outlineLevel="0" collapsed="false">
      <c r="A6" s="6" t="s">
        <v>532</v>
      </c>
      <c r="B6" s="7" t="s">
        <v>533</v>
      </c>
      <c r="C6" s="7" t="s">
        <v>534</v>
      </c>
      <c r="D6" s="7" t="s">
        <v>535</v>
      </c>
      <c r="E6" s="9" t="s">
        <v>536</v>
      </c>
      <c r="F6" s="10"/>
    </row>
    <row r="7" customFormat="false" ht="68.65" hidden="false" customHeight="false" outlineLevel="0" collapsed="false">
      <c r="A7" s="6" t="s">
        <v>537</v>
      </c>
      <c r="B7" s="7" t="s">
        <v>538</v>
      </c>
      <c r="C7" s="7" t="s">
        <v>539</v>
      </c>
      <c r="D7" s="7" t="s">
        <v>540</v>
      </c>
      <c r="E7" s="9" t="s">
        <v>541</v>
      </c>
      <c r="F7" s="10"/>
    </row>
    <row r="8" customFormat="false" ht="82.05" hidden="false" customHeight="false" outlineLevel="0" collapsed="false">
      <c r="A8" s="6" t="s">
        <v>542</v>
      </c>
      <c r="B8" s="7" t="s">
        <v>543</v>
      </c>
      <c r="C8" s="7" t="s">
        <v>544</v>
      </c>
      <c r="D8" s="6" t="s">
        <v>545</v>
      </c>
      <c r="E8" s="9" t="s">
        <v>546</v>
      </c>
      <c r="F8" s="10"/>
    </row>
    <row r="9" customFormat="false" ht="82.05" hidden="false" customHeight="false" outlineLevel="0" collapsed="false">
      <c r="A9" s="6" t="s">
        <v>547</v>
      </c>
      <c r="B9" s="7" t="s">
        <v>548</v>
      </c>
      <c r="C9" s="7" t="s">
        <v>549</v>
      </c>
      <c r="D9" s="7" t="s">
        <v>550</v>
      </c>
      <c r="E9" s="9" t="s">
        <v>551</v>
      </c>
      <c r="F9" s="10"/>
    </row>
    <row r="10" customFormat="false" ht="216.4" hidden="false" customHeight="false" outlineLevel="0" collapsed="false">
      <c r="A10" s="6" t="s">
        <v>552</v>
      </c>
      <c r="B10" s="7" t="s">
        <v>553</v>
      </c>
      <c r="C10" s="7" t="s">
        <v>554</v>
      </c>
      <c r="D10" s="7" t="s">
        <v>555</v>
      </c>
      <c r="E10" s="9" t="s">
        <v>556</v>
      </c>
      <c r="F10" s="10"/>
    </row>
    <row r="11" customFormat="false" ht="95.5" hidden="false" customHeight="false" outlineLevel="0" collapsed="false">
      <c r="A11" s="6" t="s">
        <v>557</v>
      </c>
      <c r="B11" s="7" t="s">
        <v>558</v>
      </c>
      <c r="C11" s="7" t="s">
        <v>559</v>
      </c>
      <c r="D11" s="7" t="s">
        <v>560</v>
      </c>
      <c r="E11" s="9" t="s">
        <v>561</v>
      </c>
      <c r="F11" s="10"/>
    </row>
    <row r="12" customFormat="false" ht="162.65" hidden="false" customHeight="false" outlineLevel="0" collapsed="false">
      <c r="A12" s="6" t="s">
        <v>562</v>
      </c>
      <c r="B12" s="7" t="s">
        <v>563</v>
      </c>
      <c r="C12" s="7" t="s">
        <v>563</v>
      </c>
      <c r="D12" s="7" t="s">
        <v>564</v>
      </c>
      <c r="E12" s="9" t="s">
        <v>565</v>
      </c>
      <c r="F12" s="10"/>
    </row>
    <row r="13" customFormat="false" ht="108.95" hidden="false" customHeight="false" outlineLevel="0" collapsed="false">
      <c r="A13" s="6" t="s">
        <v>566</v>
      </c>
      <c r="B13" s="7" t="s">
        <v>567</v>
      </c>
      <c r="C13" s="7" t="s">
        <v>568</v>
      </c>
      <c r="D13" s="7" t="s">
        <v>569</v>
      </c>
      <c r="E13" s="9" t="s">
        <v>570</v>
      </c>
      <c r="F13" s="10"/>
    </row>
    <row r="14" customFormat="false" ht="108.95" hidden="false" customHeight="false" outlineLevel="0" collapsed="false">
      <c r="A14" s="6" t="s">
        <v>571</v>
      </c>
      <c r="B14" s="7" t="s">
        <v>572</v>
      </c>
      <c r="C14" s="7" t="s">
        <v>573</v>
      </c>
      <c r="D14" s="7" t="s">
        <v>574</v>
      </c>
      <c r="E14" s="9" t="s">
        <v>575</v>
      </c>
      <c r="F14" s="10"/>
    </row>
    <row r="15" customFormat="false" ht="135.8" hidden="false" customHeight="false" outlineLevel="0" collapsed="false">
      <c r="A15" s="6" t="s">
        <v>576</v>
      </c>
      <c r="B15" s="7" t="s">
        <v>577</v>
      </c>
      <c r="C15" s="7" t="s">
        <v>578</v>
      </c>
      <c r="D15" s="7" t="s">
        <v>579</v>
      </c>
      <c r="E15" s="9" t="s">
        <v>580</v>
      </c>
      <c r="F15" s="10"/>
    </row>
    <row r="16" customFormat="false" ht="108.95" hidden="false" customHeight="false" outlineLevel="0" collapsed="false">
      <c r="A16" s="6" t="s">
        <v>581</v>
      </c>
      <c r="B16" s="7" t="s">
        <v>582</v>
      </c>
      <c r="C16" s="7" t="s">
        <v>583</v>
      </c>
      <c r="D16" s="7" t="s">
        <v>584</v>
      </c>
      <c r="E16" s="9" t="s">
        <v>585</v>
      </c>
      <c r="F16" s="10"/>
    </row>
    <row r="17" customFormat="false" ht="135.8" hidden="false" customHeight="false" outlineLevel="0" collapsed="false">
      <c r="A17" s="6" t="s">
        <v>586</v>
      </c>
      <c r="B17" s="7" t="s">
        <v>587</v>
      </c>
      <c r="C17" s="7" t="s">
        <v>588</v>
      </c>
      <c r="D17" s="7" t="s">
        <v>589</v>
      </c>
      <c r="E17" s="8" t="s">
        <v>590</v>
      </c>
      <c r="F17" s="10"/>
    </row>
    <row r="18" customFormat="false" ht="377.6" hidden="false" customHeight="false" outlineLevel="0" collapsed="false">
      <c r="A18" s="6" t="s">
        <v>591</v>
      </c>
      <c r="B18" s="7" t="s">
        <v>592</v>
      </c>
      <c r="C18" s="7" t="s">
        <v>593</v>
      </c>
      <c r="D18" s="7" t="s">
        <v>594</v>
      </c>
      <c r="E18" s="9" t="s">
        <v>595</v>
      </c>
      <c r="F18" s="10"/>
    </row>
    <row r="19" customFormat="false" ht="162.65" hidden="false" customHeight="false" outlineLevel="0" collapsed="false">
      <c r="A19" s="6" t="s">
        <v>596</v>
      </c>
      <c r="B19" s="7" t="s">
        <v>597</v>
      </c>
      <c r="C19" s="7" t="s">
        <v>598</v>
      </c>
      <c r="D19" s="7" t="s">
        <v>599</v>
      </c>
      <c r="E19" s="9" t="s">
        <v>600</v>
      </c>
      <c r="F1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5" t="s">
        <v>20</v>
      </c>
      <c r="B1" s="5" t="s">
        <v>601</v>
      </c>
      <c r="C1" s="5" t="s">
        <v>602</v>
      </c>
      <c r="D1" s="5" t="s">
        <v>603</v>
      </c>
      <c r="E1" s="5" t="s">
        <v>32</v>
      </c>
    </row>
    <row r="2" customFormat="false" ht="15" hidden="false" customHeight="false" outlineLevel="0" collapsed="false">
      <c r="A2" s="7" t="s">
        <v>604</v>
      </c>
      <c r="B2" s="8" t="n">
        <v>3</v>
      </c>
      <c r="C2" s="7" t="s">
        <v>605</v>
      </c>
      <c r="D2" s="16" t="n">
        <f aca="false">ROUND(B2/SUM(B$2:B$13),3)</f>
        <v>0.15</v>
      </c>
      <c r="E2" s="10"/>
    </row>
    <row r="3" customFormat="false" ht="15" hidden="false" customHeight="false" outlineLevel="0" collapsed="false">
      <c r="A3" s="7" t="s">
        <v>604</v>
      </c>
      <c r="B3" s="8" t="n">
        <v>2</v>
      </c>
      <c r="C3" s="7" t="s">
        <v>606</v>
      </c>
      <c r="D3" s="16" t="n">
        <f aca="false">ROUND(B3/SUM(B$2:B$13),3)</f>
        <v>0.1</v>
      </c>
      <c r="E3" s="10"/>
    </row>
    <row r="4" customFormat="false" ht="15" hidden="false" customHeight="false" outlineLevel="0" collapsed="false">
      <c r="A4" s="7" t="s">
        <v>604</v>
      </c>
      <c r="B4" s="8" t="n">
        <v>3</v>
      </c>
      <c r="C4" s="7" t="s">
        <v>607</v>
      </c>
      <c r="D4" s="16" t="n">
        <f aca="false">ROUND(B4/SUM(B$2:B$13),3)</f>
        <v>0.15</v>
      </c>
      <c r="E4" s="10"/>
    </row>
    <row r="5" customFormat="false" ht="15" hidden="false" customHeight="false" outlineLevel="0" collapsed="false">
      <c r="A5" s="7" t="s">
        <v>604</v>
      </c>
      <c r="B5" s="8" t="n">
        <v>1</v>
      </c>
      <c r="C5" s="7" t="s">
        <v>608</v>
      </c>
      <c r="D5" s="16" t="n">
        <f aca="false">ROUND(B5/SUM(B$2:B$13),3)</f>
        <v>0.05</v>
      </c>
      <c r="E5" s="10"/>
    </row>
    <row r="6" customFormat="false" ht="15" hidden="false" customHeight="false" outlineLevel="0" collapsed="false">
      <c r="A6" s="7" t="s">
        <v>604</v>
      </c>
      <c r="B6" s="8" t="n">
        <v>2</v>
      </c>
      <c r="C6" s="7" t="s">
        <v>609</v>
      </c>
      <c r="D6" s="16" t="n">
        <f aca="false">ROUND(B6/SUM(B$2:B$13),3)</f>
        <v>0.1</v>
      </c>
      <c r="E6" s="10"/>
    </row>
    <row r="7" customFormat="false" ht="15" hidden="false" customHeight="false" outlineLevel="0" collapsed="false">
      <c r="A7" s="7" t="s">
        <v>604</v>
      </c>
      <c r="B7" s="8" t="n">
        <v>1</v>
      </c>
      <c r="C7" s="7" t="s">
        <v>610</v>
      </c>
      <c r="D7" s="16" t="n">
        <f aca="false">ROUND(B7/SUM(B$2:B$13),3)</f>
        <v>0.05</v>
      </c>
      <c r="E7" s="10"/>
    </row>
    <row r="8" customFormat="false" ht="15" hidden="false" customHeight="false" outlineLevel="0" collapsed="false">
      <c r="A8" s="7" t="s">
        <v>604</v>
      </c>
      <c r="B8" s="8" t="n">
        <v>1</v>
      </c>
      <c r="C8" s="7" t="s">
        <v>611</v>
      </c>
      <c r="D8" s="16" t="n">
        <f aca="false">ROUND(B8/SUM(B$2:B$13),3)</f>
        <v>0.05</v>
      </c>
      <c r="E8" s="10"/>
    </row>
    <row r="9" customFormat="false" ht="15" hidden="false" customHeight="false" outlineLevel="0" collapsed="false">
      <c r="A9" s="7" t="s">
        <v>604</v>
      </c>
      <c r="B9" s="8" t="n">
        <v>2</v>
      </c>
      <c r="C9" s="7" t="s">
        <v>612</v>
      </c>
      <c r="D9" s="16" t="n">
        <f aca="false">ROUND(B9/SUM(B$2:B$13),3)</f>
        <v>0.1</v>
      </c>
      <c r="E9" s="10"/>
    </row>
    <row r="10" customFormat="false" ht="15" hidden="false" customHeight="false" outlineLevel="0" collapsed="false">
      <c r="A10" s="7" t="s">
        <v>604</v>
      </c>
      <c r="B10" s="8" t="n">
        <v>1</v>
      </c>
      <c r="C10" s="7" t="s">
        <v>613</v>
      </c>
      <c r="D10" s="16" t="n">
        <f aca="false">ROUND(B10/SUM(B$2:B$13),3)</f>
        <v>0.05</v>
      </c>
      <c r="E10" s="10"/>
    </row>
    <row r="11" customFormat="false" ht="15" hidden="false" customHeight="false" outlineLevel="0" collapsed="false">
      <c r="A11" s="7" t="s">
        <v>604</v>
      </c>
      <c r="B11" s="8" t="n">
        <v>2</v>
      </c>
      <c r="C11" s="7" t="s">
        <v>614</v>
      </c>
      <c r="D11" s="16" t="n">
        <f aca="false">ROUND(B11/SUM(B$2:B$13),3)</f>
        <v>0.1</v>
      </c>
      <c r="E11" s="10"/>
    </row>
    <row r="12" customFormat="false" ht="15" hidden="false" customHeight="false" outlineLevel="0" collapsed="false">
      <c r="A12" s="7" t="s">
        <v>604</v>
      </c>
      <c r="B12" s="8" t="n">
        <v>1</v>
      </c>
      <c r="C12" s="7" t="s">
        <v>615</v>
      </c>
      <c r="D12" s="16" t="n">
        <f aca="false">ROUND(B12/SUM(B$2:B$13),3)</f>
        <v>0.05</v>
      </c>
      <c r="E12" s="10"/>
    </row>
    <row r="13" customFormat="false" ht="15" hidden="false" customHeight="false" outlineLevel="0" collapsed="false">
      <c r="A13" s="7" t="s">
        <v>604</v>
      </c>
      <c r="B13" s="8" t="n">
        <v>1</v>
      </c>
      <c r="C13" s="7" t="s">
        <v>616</v>
      </c>
      <c r="D13" s="16" t="n">
        <f aca="false">ROUND(B13/SUM(B$2:B$13),3)</f>
        <v>0.05</v>
      </c>
      <c r="E13" s="10"/>
    </row>
    <row r="14" customFormat="false" ht="15" hidden="false" customHeight="false" outlineLevel="0" collapsed="false">
      <c r="A14" s="7" t="s">
        <v>617</v>
      </c>
      <c r="B14" s="8" t="n">
        <v>3</v>
      </c>
      <c r="C14" s="7" t="s">
        <v>618</v>
      </c>
      <c r="D14" s="16" t="n">
        <f aca="false">ROUND(B14/SUM(B$14:B$22),3)</f>
        <v>0.188</v>
      </c>
      <c r="E14" s="10"/>
    </row>
    <row r="15" customFormat="false" ht="15" hidden="false" customHeight="false" outlineLevel="0" collapsed="false">
      <c r="A15" s="7" t="s">
        <v>617</v>
      </c>
      <c r="B15" s="8" t="n">
        <v>1</v>
      </c>
      <c r="C15" s="7" t="s">
        <v>619</v>
      </c>
      <c r="D15" s="16" t="n">
        <f aca="false">ROUND(B15/SUM(B$14:B$22),3)</f>
        <v>0.063</v>
      </c>
      <c r="E15" s="10"/>
    </row>
    <row r="16" customFormat="false" ht="15" hidden="false" customHeight="false" outlineLevel="0" collapsed="false">
      <c r="A16" s="7" t="s">
        <v>617</v>
      </c>
      <c r="B16" s="8" t="n">
        <v>3</v>
      </c>
      <c r="C16" s="7" t="s">
        <v>620</v>
      </c>
      <c r="D16" s="16" t="n">
        <f aca="false">ROUND(B16/SUM(B$14:B$22),3)</f>
        <v>0.188</v>
      </c>
      <c r="E16" s="10"/>
    </row>
    <row r="17" customFormat="false" ht="15" hidden="false" customHeight="false" outlineLevel="0" collapsed="false">
      <c r="A17" s="7" t="s">
        <v>617</v>
      </c>
      <c r="B17" s="8" t="n">
        <v>2</v>
      </c>
      <c r="C17" s="7" t="s">
        <v>621</v>
      </c>
      <c r="D17" s="16" t="n">
        <f aca="false">ROUND(B17/SUM(B$14:B$22),3)</f>
        <v>0.125</v>
      </c>
      <c r="E17" s="10"/>
    </row>
    <row r="18" customFormat="false" ht="15" hidden="false" customHeight="false" outlineLevel="0" collapsed="false">
      <c r="A18" s="7" t="s">
        <v>617</v>
      </c>
      <c r="B18" s="8" t="n">
        <v>2</v>
      </c>
      <c r="C18" s="7" t="s">
        <v>622</v>
      </c>
      <c r="D18" s="16" t="n">
        <f aca="false">ROUND(B18/SUM(B$14:B$22),3)</f>
        <v>0.125</v>
      </c>
      <c r="E18" s="10"/>
    </row>
    <row r="19" customFormat="false" ht="15" hidden="false" customHeight="false" outlineLevel="0" collapsed="false">
      <c r="A19" s="7" t="s">
        <v>617</v>
      </c>
      <c r="B19" s="8" t="n">
        <v>2</v>
      </c>
      <c r="C19" s="7" t="s">
        <v>623</v>
      </c>
      <c r="D19" s="16" t="n">
        <f aca="false">ROUND(B19/SUM(B$14:B$22),3)</f>
        <v>0.125</v>
      </c>
      <c r="E19" s="10"/>
    </row>
    <row r="20" customFormat="false" ht="15" hidden="false" customHeight="false" outlineLevel="0" collapsed="false">
      <c r="A20" s="7" t="s">
        <v>617</v>
      </c>
      <c r="B20" s="8" t="n">
        <v>1</v>
      </c>
      <c r="C20" s="7" t="s">
        <v>624</v>
      </c>
      <c r="D20" s="16" t="n">
        <f aca="false">ROUND(B20/SUM(B$14:B$22),3)</f>
        <v>0.063</v>
      </c>
      <c r="E20" s="10"/>
    </row>
    <row r="21" customFormat="false" ht="15" hidden="false" customHeight="false" outlineLevel="0" collapsed="false">
      <c r="A21" s="7" t="s">
        <v>617</v>
      </c>
      <c r="B21" s="8" t="n">
        <v>1</v>
      </c>
      <c r="C21" s="7" t="s">
        <v>625</v>
      </c>
      <c r="D21" s="16" t="n">
        <f aca="false">ROUND(B21/SUM(B$14:B$22),3)</f>
        <v>0.063</v>
      </c>
      <c r="E21" s="10"/>
    </row>
    <row r="22" customFormat="false" ht="15" hidden="false" customHeight="false" outlineLevel="0" collapsed="false">
      <c r="A22" s="7" t="s">
        <v>617</v>
      </c>
      <c r="B22" s="8" t="n">
        <v>1</v>
      </c>
      <c r="C22" s="7" t="s">
        <v>626</v>
      </c>
      <c r="D22" s="16" t="n">
        <f aca="false">ROUND(B22/SUM(B$14:B$22),3)</f>
        <v>0.063</v>
      </c>
      <c r="E2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5" t="s">
        <v>627</v>
      </c>
      <c r="B1" s="5" t="s">
        <v>18</v>
      </c>
      <c r="C1" s="5" t="s">
        <v>628</v>
      </c>
      <c r="D1" s="5" t="s">
        <v>629</v>
      </c>
      <c r="E1" s="5" t="s">
        <v>32</v>
      </c>
    </row>
    <row r="2" customFormat="false" ht="15" hidden="false" customHeight="false" outlineLevel="0" collapsed="false">
      <c r="A2" s="7" t="s">
        <v>630</v>
      </c>
      <c r="B2" s="7" t="s">
        <v>631</v>
      </c>
      <c r="C2" s="7" t="s">
        <v>632</v>
      </c>
      <c r="D2" s="8" t="n">
        <v>2</v>
      </c>
      <c r="E2" s="10"/>
    </row>
    <row r="3" customFormat="false" ht="15" hidden="false" customHeight="false" outlineLevel="0" collapsed="false">
      <c r="A3" s="7" t="s">
        <v>630</v>
      </c>
      <c r="B3" s="7" t="s">
        <v>633</v>
      </c>
      <c r="C3" s="7" t="s">
        <v>634</v>
      </c>
      <c r="D3" s="8" t="n">
        <v>5</v>
      </c>
      <c r="E3" s="10"/>
    </row>
    <row r="4" customFormat="false" ht="15" hidden="false" customHeight="false" outlineLevel="0" collapsed="false">
      <c r="A4" s="7" t="s">
        <v>630</v>
      </c>
      <c r="B4" s="7" t="s">
        <v>635</v>
      </c>
      <c r="C4" s="7" t="s">
        <v>636</v>
      </c>
      <c r="D4" s="8" t="n">
        <v>25</v>
      </c>
      <c r="E4" s="10"/>
    </row>
    <row r="5" customFormat="false" ht="15" hidden="false" customHeight="false" outlineLevel="0" collapsed="false">
      <c r="A5" s="7" t="s">
        <v>637</v>
      </c>
      <c r="B5" s="7" t="s">
        <v>638</v>
      </c>
      <c r="C5" s="7" t="s">
        <v>639</v>
      </c>
      <c r="D5" s="8" t="n">
        <v>1</v>
      </c>
      <c r="E5" s="10"/>
    </row>
    <row r="6" customFormat="false" ht="15" hidden="false" customHeight="false" outlineLevel="0" collapsed="false">
      <c r="A6" s="7" t="s">
        <v>637</v>
      </c>
      <c r="B6" s="7" t="s">
        <v>640</v>
      </c>
      <c r="C6" s="7" t="s">
        <v>641</v>
      </c>
      <c r="D6" s="8" t="n">
        <v>10</v>
      </c>
      <c r="E6" s="10"/>
    </row>
    <row r="7" customFormat="false" ht="15" hidden="false" customHeight="false" outlineLevel="0" collapsed="false">
      <c r="A7" s="7" t="s">
        <v>637</v>
      </c>
      <c r="B7" s="7" t="s">
        <v>642</v>
      </c>
      <c r="C7" s="7" t="s">
        <v>643</v>
      </c>
      <c r="D7" s="8" t="n">
        <v>2.5</v>
      </c>
      <c r="E7" s="10"/>
    </row>
    <row r="8" customFormat="false" ht="15" hidden="false" customHeight="false" outlineLevel="0" collapsed="false">
      <c r="A8" s="7" t="s">
        <v>644</v>
      </c>
      <c r="B8" s="7" t="s">
        <v>645</v>
      </c>
      <c r="C8" s="7" t="s">
        <v>646</v>
      </c>
      <c r="D8" s="8" t="n">
        <v>5</v>
      </c>
      <c r="E8" s="10"/>
    </row>
    <row r="9" customFormat="false" ht="15" hidden="false" customHeight="false" outlineLevel="0" collapsed="false">
      <c r="A9" s="7" t="s">
        <v>644</v>
      </c>
      <c r="B9" s="7" t="s">
        <v>647</v>
      </c>
      <c r="C9" s="7" t="s">
        <v>648</v>
      </c>
      <c r="D9" s="8" t="n">
        <v>2</v>
      </c>
      <c r="E9" s="10"/>
    </row>
    <row r="10" customFormat="false" ht="15" hidden="false" customHeight="false" outlineLevel="0" collapsed="false">
      <c r="A10" s="7" t="s">
        <v>644</v>
      </c>
      <c r="B10" s="7" t="s">
        <v>649</v>
      </c>
      <c r="C10" s="7" t="s">
        <v>650</v>
      </c>
      <c r="D10" s="8" t="n">
        <v>0.35</v>
      </c>
      <c r="E10" s="10"/>
    </row>
    <row r="11" customFormat="false" ht="15" hidden="false" customHeight="false" outlineLevel="0" collapsed="false">
      <c r="A11" s="7" t="s">
        <v>644</v>
      </c>
      <c r="B11" s="7" t="s">
        <v>651</v>
      </c>
      <c r="C11" s="7" t="s">
        <v>652</v>
      </c>
      <c r="D11" s="8" t="n">
        <v>5</v>
      </c>
      <c r="E11" s="10"/>
    </row>
    <row r="12" customFormat="false" ht="15" hidden="false" customHeight="false" outlineLevel="0" collapsed="false">
      <c r="A12" s="7" t="s">
        <v>644</v>
      </c>
      <c r="B12" s="7" t="s">
        <v>653</v>
      </c>
      <c r="C12" s="7" t="s">
        <v>652</v>
      </c>
      <c r="D12" s="8" t="n">
        <v>1</v>
      </c>
      <c r="E12" s="10"/>
    </row>
    <row r="13" customFormat="false" ht="15" hidden="false" customHeight="false" outlineLevel="0" collapsed="false">
      <c r="A13" s="7" t="s">
        <v>644</v>
      </c>
      <c r="B13" s="7" t="s">
        <v>654</v>
      </c>
      <c r="C13" s="7" t="s">
        <v>655</v>
      </c>
      <c r="D13" s="8" t="s">
        <v>656</v>
      </c>
      <c r="E13" s="10"/>
    </row>
    <row r="14" customFormat="false" ht="15" hidden="false" customHeight="false" outlineLevel="0" collapsed="false">
      <c r="A14" s="7" t="s">
        <v>657</v>
      </c>
      <c r="B14" s="7" t="s">
        <v>658</v>
      </c>
      <c r="C14" s="7" t="s">
        <v>659</v>
      </c>
      <c r="D14" s="8" t="n">
        <v>0.2</v>
      </c>
      <c r="E14" s="10"/>
    </row>
    <row r="15" customFormat="false" ht="15" hidden="false" customHeight="false" outlineLevel="0" collapsed="false">
      <c r="A15" s="7" t="s">
        <v>657</v>
      </c>
      <c r="B15" s="7" t="s">
        <v>660</v>
      </c>
      <c r="C15" s="7" t="s">
        <v>661</v>
      </c>
      <c r="D15" s="8" t="s">
        <v>662</v>
      </c>
      <c r="E15" s="10"/>
    </row>
    <row r="16" customFormat="false" ht="15" hidden="false" customHeight="false" outlineLevel="0" collapsed="false">
      <c r="A16" s="7" t="s">
        <v>644</v>
      </c>
      <c r="B16" s="7" t="s">
        <v>663</v>
      </c>
      <c r="C16" s="7" t="s">
        <v>664</v>
      </c>
      <c r="D16" s="8" t="n">
        <v>1</v>
      </c>
      <c r="E16" s="10"/>
    </row>
    <row r="17" customFormat="false" ht="15" hidden="false" customHeight="false" outlineLevel="0" collapsed="false">
      <c r="A17" s="7" t="s">
        <v>665</v>
      </c>
      <c r="B17" s="7" t="s">
        <v>666</v>
      </c>
      <c r="C17" s="7"/>
      <c r="D17" s="8" t="n">
        <v>20</v>
      </c>
      <c r="E17" s="10"/>
    </row>
    <row r="18" customFormat="false" ht="15" hidden="false" customHeight="false" outlineLevel="0" collapsed="false">
      <c r="A18" s="7" t="s">
        <v>665</v>
      </c>
      <c r="B18" s="7" t="s">
        <v>667</v>
      </c>
      <c r="C18" s="7" t="s">
        <v>668</v>
      </c>
      <c r="D18" s="8" t="n">
        <v>5</v>
      </c>
      <c r="E18" s="10"/>
    </row>
    <row r="19" customFormat="false" ht="15" hidden="false" customHeight="false" outlineLevel="0" collapsed="false">
      <c r="A19" s="7" t="s">
        <v>665</v>
      </c>
      <c r="B19" s="7" t="s">
        <v>669</v>
      </c>
      <c r="C19" s="7"/>
      <c r="D19" s="8" t="n">
        <v>5</v>
      </c>
      <c r="E19" s="10"/>
    </row>
    <row r="20" customFormat="false" ht="15" hidden="false" customHeight="false" outlineLevel="0" collapsed="false">
      <c r="A20" s="7" t="s">
        <v>665</v>
      </c>
      <c r="B20" s="7" t="s">
        <v>670</v>
      </c>
      <c r="C20" s="7"/>
      <c r="D20" s="8" t="n">
        <v>1</v>
      </c>
      <c r="E20" s="10"/>
    </row>
    <row r="21" customFormat="false" ht="15" hidden="false" customHeight="false" outlineLevel="0" collapsed="false">
      <c r="A21" s="7" t="s">
        <v>665</v>
      </c>
      <c r="B21" s="7" t="s">
        <v>671</v>
      </c>
      <c r="C21" s="7"/>
      <c r="D21" s="8" t="n">
        <v>1</v>
      </c>
      <c r="E21" s="10"/>
    </row>
    <row r="22" customFormat="false" ht="15" hidden="false" customHeight="false" outlineLevel="0" collapsed="false">
      <c r="A22" s="7" t="s">
        <v>672</v>
      </c>
      <c r="B22" s="7" t="s">
        <v>673</v>
      </c>
      <c r="C22" s="7" t="s">
        <v>674</v>
      </c>
      <c r="D22" s="8" t="n">
        <v>60000</v>
      </c>
      <c r="E22" s="10"/>
    </row>
    <row r="23" customFormat="false" ht="15" hidden="false" customHeight="false" outlineLevel="0" collapsed="false">
      <c r="A23" s="7" t="s">
        <v>672</v>
      </c>
      <c r="B23" s="7" t="s">
        <v>675</v>
      </c>
      <c r="C23" s="7" t="s">
        <v>676</v>
      </c>
      <c r="D23" s="8" t="n">
        <v>45000</v>
      </c>
      <c r="E23" s="10"/>
    </row>
    <row r="24" customFormat="false" ht="15" hidden="false" customHeight="false" outlineLevel="0" collapsed="false">
      <c r="A24" s="7" t="s">
        <v>672</v>
      </c>
      <c r="B24" s="7" t="s">
        <v>677</v>
      </c>
      <c r="C24" s="7" t="s">
        <v>678</v>
      </c>
      <c r="D24" s="8" t="n">
        <v>35000</v>
      </c>
      <c r="E24" s="10"/>
    </row>
    <row r="25" customFormat="false" ht="15" hidden="false" customHeight="false" outlineLevel="0" collapsed="false">
      <c r="A25" s="7" t="s">
        <v>672</v>
      </c>
      <c r="B25" s="7" t="s">
        <v>679</v>
      </c>
      <c r="C25" s="7" t="s">
        <v>680</v>
      </c>
      <c r="D25" s="8" t="n">
        <v>20000</v>
      </c>
      <c r="E25" s="10"/>
    </row>
    <row r="26" customFormat="false" ht="15" hidden="false" customHeight="false" outlineLevel="0" collapsed="false">
      <c r="A26" s="7" t="s">
        <v>672</v>
      </c>
      <c r="B26" s="7" t="s">
        <v>681</v>
      </c>
      <c r="C26" s="7" t="s">
        <v>682</v>
      </c>
      <c r="D26" s="8" t="n">
        <v>10000</v>
      </c>
      <c r="E26" s="10"/>
    </row>
    <row r="27" customFormat="false" ht="15" hidden="false" customHeight="false" outlineLevel="0" collapsed="false">
      <c r="A27" s="7" t="s">
        <v>672</v>
      </c>
      <c r="B27" s="7" t="s">
        <v>683</v>
      </c>
      <c r="C27" s="7" t="s">
        <v>684</v>
      </c>
      <c r="D27" s="8" t="n">
        <v>5000</v>
      </c>
      <c r="E27" s="10"/>
    </row>
    <row r="28" customFormat="false" ht="15" hidden="false" customHeight="false" outlineLevel="0" collapsed="false">
      <c r="A28" s="7" t="s">
        <v>672</v>
      </c>
      <c r="B28" s="7" t="s">
        <v>685</v>
      </c>
      <c r="C28" s="7" t="s">
        <v>674</v>
      </c>
      <c r="D28" s="8" t="n">
        <v>60000</v>
      </c>
      <c r="E28" s="10"/>
    </row>
    <row r="29" customFormat="false" ht="15" hidden="false" customHeight="false" outlineLevel="0" collapsed="false">
      <c r="A29" s="7" t="s">
        <v>672</v>
      </c>
      <c r="B29" s="7" t="s">
        <v>686</v>
      </c>
      <c r="C29" s="7" t="s">
        <v>676</v>
      </c>
      <c r="D29" s="8" t="n">
        <v>45000</v>
      </c>
      <c r="E29" s="10"/>
    </row>
    <row r="30" customFormat="false" ht="15" hidden="false" customHeight="false" outlineLevel="0" collapsed="false">
      <c r="A30" s="7" t="s">
        <v>672</v>
      </c>
      <c r="B30" s="7" t="s">
        <v>687</v>
      </c>
      <c r="C30" s="7" t="s">
        <v>678</v>
      </c>
      <c r="D30" s="8" t="n">
        <v>35000</v>
      </c>
      <c r="E30" s="10"/>
    </row>
    <row r="31" customFormat="false" ht="15" hidden="false" customHeight="false" outlineLevel="0" collapsed="false">
      <c r="A31" s="7" t="s">
        <v>672</v>
      </c>
      <c r="B31" s="7" t="s">
        <v>688</v>
      </c>
      <c r="C31" s="7" t="s">
        <v>680</v>
      </c>
      <c r="D31" s="8" t="n">
        <v>20000</v>
      </c>
      <c r="E31" s="10"/>
    </row>
    <row r="32" customFormat="false" ht="15" hidden="false" customHeight="false" outlineLevel="0" collapsed="false">
      <c r="A32" s="7" t="s">
        <v>672</v>
      </c>
      <c r="B32" s="7" t="s">
        <v>689</v>
      </c>
      <c r="C32" s="7" t="s">
        <v>682</v>
      </c>
      <c r="D32" s="8" t="n">
        <v>10000</v>
      </c>
      <c r="E32" s="10"/>
    </row>
    <row r="33" customFormat="false" ht="15" hidden="false" customHeight="false" outlineLevel="0" collapsed="false">
      <c r="A33" s="7" t="s">
        <v>672</v>
      </c>
      <c r="B33" s="7" t="s">
        <v>690</v>
      </c>
      <c r="C33" s="7" t="s">
        <v>684</v>
      </c>
      <c r="D33" s="8" t="n">
        <v>5000</v>
      </c>
      <c r="E33" s="10"/>
    </row>
    <row r="34" customFormat="false" ht="27.6" hidden="false" customHeight="false" outlineLevel="0" collapsed="false">
      <c r="A34" s="7" t="s">
        <v>691</v>
      </c>
      <c r="B34" s="7" t="s">
        <v>692</v>
      </c>
      <c r="C34" s="7" t="s">
        <v>693</v>
      </c>
      <c r="D34" s="8" t="s">
        <v>694</v>
      </c>
      <c r="E34" s="10"/>
    </row>
    <row r="35" customFormat="false" ht="15" hidden="false" customHeight="false" outlineLevel="0" collapsed="false">
      <c r="A35" s="7" t="s">
        <v>691</v>
      </c>
      <c r="B35" s="7" t="s">
        <v>695</v>
      </c>
      <c r="C35" s="7" t="s">
        <v>696</v>
      </c>
      <c r="D35" s="8" t="s">
        <v>697</v>
      </c>
      <c r="E35" s="10"/>
    </row>
    <row r="36" customFormat="false" ht="15" hidden="false" customHeight="false" outlineLevel="0" collapsed="false">
      <c r="A36" s="7" t="s">
        <v>691</v>
      </c>
      <c r="B36" s="7" t="s">
        <v>698</v>
      </c>
      <c r="C36" s="7" t="s">
        <v>699</v>
      </c>
      <c r="D36" s="8" t="s">
        <v>700</v>
      </c>
      <c r="E36" s="10"/>
    </row>
    <row r="37" customFormat="false" ht="15" hidden="false" customHeight="false" outlineLevel="0" collapsed="false">
      <c r="A37" s="7" t="s">
        <v>691</v>
      </c>
      <c r="B37" s="7" t="s">
        <v>701</v>
      </c>
      <c r="C37" s="7" t="s">
        <v>702</v>
      </c>
      <c r="D37" s="8" t="s">
        <v>703</v>
      </c>
      <c r="E37" s="10"/>
    </row>
    <row r="38" customFormat="false" ht="15" hidden="false" customHeight="false" outlineLevel="0" collapsed="false">
      <c r="A38" s="7" t="s">
        <v>691</v>
      </c>
      <c r="B38" s="7" t="s">
        <v>704</v>
      </c>
      <c r="C38" s="7" t="s">
        <v>705</v>
      </c>
      <c r="D38" s="8" t="s">
        <v>706</v>
      </c>
      <c r="E38" s="10"/>
    </row>
    <row r="39" customFormat="false" ht="15" hidden="false" customHeight="false" outlineLevel="0" collapsed="false">
      <c r="A39" s="7" t="s">
        <v>691</v>
      </c>
      <c r="B39" s="7" t="s">
        <v>707</v>
      </c>
      <c r="C39" s="7" t="s">
        <v>708</v>
      </c>
      <c r="D39" s="8" t="s">
        <v>709</v>
      </c>
      <c r="E39" s="10"/>
    </row>
    <row r="40" customFormat="false" ht="15" hidden="false" customHeight="false" outlineLevel="0" collapsed="false">
      <c r="A40" s="7" t="s">
        <v>691</v>
      </c>
      <c r="B40" s="7" t="s">
        <v>710</v>
      </c>
      <c r="C40" s="7" t="s">
        <v>711</v>
      </c>
      <c r="D40" s="8" t="s">
        <v>709</v>
      </c>
      <c r="E40" s="10"/>
    </row>
    <row r="41" customFormat="false" ht="15" hidden="false" customHeight="false" outlineLevel="0" collapsed="false">
      <c r="A41" s="7" t="s">
        <v>691</v>
      </c>
      <c r="B41" s="7" t="s">
        <v>712</v>
      </c>
      <c r="C41" s="7" t="s">
        <v>713</v>
      </c>
      <c r="D41" s="8" t="s">
        <v>709</v>
      </c>
      <c r="E41" s="10"/>
    </row>
    <row r="42" customFormat="false" ht="15" hidden="false" customHeight="false" outlineLevel="0" collapsed="false">
      <c r="A42" s="7" t="s">
        <v>691</v>
      </c>
      <c r="B42" s="7" t="s">
        <v>714</v>
      </c>
      <c r="C42" s="7" t="s">
        <v>715</v>
      </c>
      <c r="D42" s="8" t="s">
        <v>709</v>
      </c>
      <c r="E42" s="10"/>
    </row>
    <row r="43" customFormat="false" ht="15" hidden="false" customHeight="false" outlineLevel="0" collapsed="false">
      <c r="A43" s="7" t="s">
        <v>691</v>
      </c>
      <c r="B43" s="7" t="s">
        <v>716</v>
      </c>
      <c r="C43" s="7" t="s">
        <v>717</v>
      </c>
      <c r="D43" s="8" t="s">
        <v>709</v>
      </c>
      <c r="E43" s="10"/>
    </row>
    <row r="44" customFormat="false" ht="15" hidden="false" customHeight="false" outlineLevel="0" collapsed="false">
      <c r="A44" s="7" t="s">
        <v>691</v>
      </c>
      <c r="B44" s="7" t="s">
        <v>718</v>
      </c>
      <c r="C44" s="7" t="s">
        <v>719</v>
      </c>
      <c r="D44" s="8" t="s">
        <v>709</v>
      </c>
      <c r="E44" s="10"/>
    </row>
    <row r="45" customFormat="false" ht="15" hidden="false" customHeight="false" outlineLevel="0" collapsed="false">
      <c r="A45" s="7" t="s">
        <v>691</v>
      </c>
      <c r="B45" s="7" t="s">
        <v>720</v>
      </c>
      <c r="C45" s="7" t="s">
        <v>721</v>
      </c>
      <c r="D45" s="8" t="s">
        <v>709</v>
      </c>
      <c r="E45" s="10"/>
    </row>
    <row r="46" customFormat="false" ht="15" hidden="false" customHeight="false" outlineLevel="0" collapsed="false">
      <c r="A46" s="7" t="s">
        <v>691</v>
      </c>
      <c r="B46" s="7" t="s">
        <v>722</v>
      </c>
      <c r="C46" s="7" t="s">
        <v>723</v>
      </c>
      <c r="D46" s="8" t="s">
        <v>700</v>
      </c>
      <c r="E46" s="10"/>
    </row>
    <row r="47" customFormat="false" ht="15" hidden="false" customHeight="false" outlineLevel="0" collapsed="false">
      <c r="A47" s="7" t="s">
        <v>691</v>
      </c>
      <c r="B47" s="7" t="s">
        <v>724</v>
      </c>
      <c r="C47" s="7" t="s">
        <v>725</v>
      </c>
      <c r="D47" s="8" t="s">
        <v>726</v>
      </c>
      <c r="E47" s="10"/>
    </row>
    <row r="48" customFormat="false" ht="15" hidden="false" customHeight="false" outlineLevel="0" collapsed="false">
      <c r="A48" s="7" t="s">
        <v>691</v>
      </c>
      <c r="B48" s="7" t="s">
        <v>727</v>
      </c>
      <c r="C48" s="7" t="s">
        <v>728</v>
      </c>
      <c r="D48" s="8" t="s">
        <v>700</v>
      </c>
      <c r="E48" s="10"/>
    </row>
    <row r="49" customFormat="false" ht="15" hidden="false" customHeight="false" outlineLevel="0" collapsed="false">
      <c r="A49" s="7" t="s">
        <v>691</v>
      </c>
      <c r="B49" s="7" t="s">
        <v>729</v>
      </c>
      <c r="C49" s="7" t="s">
        <v>730</v>
      </c>
      <c r="D49" s="8" t="s">
        <v>731</v>
      </c>
      <c r="E49" s="10"/>
    </row>
    <row r="50" customFormat="false" ht="15" hidden="false" customHeight="false" outlineLevel="0" collapsed="false">
      <c r="A50" s="7" t="s">
        <v>691</v>
      </c>
      <c r="B50" s="7" t="s">
        <v>732</v>
      </c>
      <c r="C50" s="6" t="s">
        <v>733</v>
      </c>
      <c r="D50" s="8" t="s">
        <v>734</v>
      </c>
      <c r="E50" s="10"/>
    </row>
    <row r="51" customFormat="false" ht="15" hidden="false" customHeight="false" outlineLevel="0" collapsed="false">
      <c r="A51" s="7" t="s">
        <v>691</v>
      </c>
      <c r="B51" s="7" t="s">
        <v>735</v>
      </c>
      <c r="C51" s="7" t="s">
        <v>736</v>
      </c>
      <c r="D51" s="8" t="s">
        <v>737</v>
      </c>
      <c r="E51" s="10"/>
    </row>
    <row r="52" customFormat="false" ht="15" hidden="false" customHeight="false" outlineLevel="0" collapsed="false">
      <c r="A52" s="7" t="s">
        <v>691</v>
      </c>
      <c r="B52" s="7" t="s">
        <v>738</v>
      </c>
      <c r="C52" s="7" t="s">
        <v>739</v>
      </c>
      <c r="D52" s="8" t="s">
        <v>740</v>
      </c>
      <c r="E52" s="10"/>
    </row>
    <row r="53" customFormat="false" ht="15" hidden="false" customHeight="false" outlineLevel="0" collapsed="false">
      <c r="A53" s="7" t="s">
        <v>691</v>
      </c>
      <c r="B53" s="7" t="s">
        <v>741</v>
      </c>
      <c r="C53" s="7" t="s">
        <v>742</v>
      </c>
      <c r="D53" s="8" t="s">
        <v>740</v>
      </c>
      <c r="E53" s="10"/>
    </row>
    <row r="54" customFormat="false" ht="15" hidden="false" customHeight="false" outlineLevel="0" collapsed="false">
      <c r="A54" s="7" t="s">
        <v>691</v>
      </c>
      <c r="B54" s="7" t="s">
        <v>743</v>
      </c>
      <c r="C54" s="7" t="s">
        <v>744</v>
      </c>
      <c r="D54" s="8" t="s">
        <v>700</v>
      </c>
      <c r="E54" s="10"/>
    </row>
    <row r="55" customFormat="false" ht="28.35" hidden="false" customHeight="false" outlineLevel="0" collapsed="false">
      <c r="A55" s="7" t="s">
        <v>691</v>
      </c>
      <c r="B55" s="7" t="s">
        <v>745</v>
      </c>
      <c r="C55" s="7" t="s">
        <v>746</v>
      </c>
      <c r="D55" s="8" t="s">
        <v>747</v>
      </c>
      <c r="E55" s="10"/>
    </row>
    <row r="56" customFormat="false" ht="27.6" hidden="false" customHeight="false" outlineLevel="0" collapsed="false">
      <c r="A56" s="7" t="s">
        <v>691</v>
      </c>
      <c r="B56" s="7" t="s">
        <v>748</v>
      </c>
      <c r="C56" s="7" t="s">
        <v>749</v>
      </c>
      <c r="D56" s="8" t="s">
        <v>750</v>
      </c>
      <c r="E56" s="10"/>
    </row>
    <row r="57" customFormat="false" ht="15" hidden="false" customHeight="false" outlineLevel="0" collapsed="false">
      <c r="A57" s="7" t="s">
        <v>691</v>
      </c>
      <c r="B57" s="7" t="s">
        <v>751</v>
      </c>
      <c r="C57" s="7" t="s">
        <v>752</v>
      </c>
      <c r="D57" s="8" t="s">
        <v>753</v>
      </c>
      <c r="E57" s="10"/>
    </row>
    <row r="58" customFormat="false" ht="15" hidden="false" customHeight="false" outlineLevel="0" collapsed="false">
      <c r="A58" s="7" t="s">
        <v>691</v>
      </c>
      <c r="B58" s="7" t="s">
        <v>754</v>
      </c>
      <c r="C58" s="7" t="s">
        <v>755</v>
      </c>
      <c r="D58" s="8" t="s">
        <v>756</v>
      </c>
      <c r="E58" s="10"/>
    </row>
    <row r="59" customFormat="false" ht="15" hidden="false" customHeight="false" outlineLevel="0" collapsed="false">
      <c r="A59" s="7" t="s">
        <v>691</v>
      </c>
      <c r="B59" s="7" t="s">
        <v>757</v>
      </c>
      <c r="C59" s="7" t="s">
        <v>758</v>
      </c>
      <c r="D59" s="8" t="s">
        <v>700</v>
      </c>
      <c r="E59" s="10"/>
    </row>
    <row r="60" customFormat="false" ht="15" hidden="false" customHeight="false" outlineLevel="0" collapsed="false">
      <c r="A60" s="7" t="s">
        <v>691</v>
      </c>
      <c r="B60" s="7" t="s">
        <v>759</v>
      </c>
      <c r="C60" s="7" t="s">
        <v>760</v>
      </c>
      <c r="D60" s="8" t="s">
        <v>740</v>
      </c>
      <c r="E60" s="10"/>
    </row>
    <row r="61" customFormat="false" ht="15" hidden="false" customHeight="false" outlineLevel="0" collapsed="false">
      <c r="A61" s="7" t="s">
        <v>691</v>
      </c>
      <c r="B61" s="7" t="s">
        <v>761</v>
      </c>
      <c r="C61" s="7" t="s">
        <v>762</v>
      </c>
      <c r="D61" s="8" t="s">
        <v>763</v>
      </c>
      <c r="E61" s="10"/>
    </row>
    <row r="62" customFormat="false" ht="15" hidden="false" customHeight="false" outlineLevel="0" collapsed="false">
      <c r="A62" s="7" t="s">
        <v>691</v>
      </c>
      <c r="B62" s="7" t="s">
        <v>764</v>
      </c>
      <c r="C62" s="7" t="s">
        <v>765</v>
      </c>
      <c r="D62" s="8" t="s">
        <v>766</v>
      </c>
      <c r="E62" s="10"/>
    </row>
    <row r="63" customFormat="false" ht="15" hidden="false" customHeight="false" outlineLevel="0" collapsed="false">
      <c r="A63" s="7" t="s">
        <v>691</v>
      </c>
      <c r="B63" s="7" t="s">
        <v>767</v>
      </c>
      <c r="C63" s="7" t="s">
        <v>768</v>
      </c>
      <c r="D63" s="8" t="s">
        <v>769</v>
      </c>
      <c r="E63" s="10"/>
    </row>
    <row r="64" customFormat="false" ht="15" hidden="false" customHeight="false" outlineLevel="0" collapsed="false">
      <c r="A64" s="7" t="s">
        <v>691</v>
      </c>
      <c r="B64" s="7" t="s">
        <v>770</v>
      </c>
      <c r="C64" s="7" t="s">
        <v>771</v>
      </c>
      <c r="D64" s="8" t="s">
        <v>726</v>
      </c>
      <c r="E64" s="10"/>
    </row>
    <row r="65" customFormat="false" ht="15" hidden="false" customHeight="false" outlineLevel="0" collapsed="false">
      <c r="A65" s="7" t="s">
        <v>691</v>
      </c>
      <c r="B65" s="7" t="s">
        <v>772</v>
      </c>
      <c r="C65" s="7" t="s">
        <v>773</v>
      </c>
      <c r="D65" s="8" t="s">
        <v>774</v>
      </c>
      <c r="E65" s="10"/>
    </row>
    <row r="66" customFormat="false" ht="15" hidden="false" customHeight="false" outlineLevel="0" collapsed="false">
      <c r="A66" s="7" t="s">
        <v>691</v>
      </c>
      <c r="B66" s="7" t="s">
        <v>775</v>
      </c>
      <c r="C66" s="7" t="s">
        <v>776</v>
      </c>
      <c r="D66" s="8" t="s">
        <v>747</v>
      </c>
      <c r="E66" s="10"/>
    </row>
    <row r="67" customFormat="false" ht="15" hidden="false" customHeight="false" outlineLevel="0" collapsed="false">
      <c r="A67" s="7" t="s">
        <v>691</v>
      </c>
      <c r="B67" s="7" t="s">
        <v>777</v>
      </c>
      <c r="C67" s="7" t="s">
        <v>778</v>
      </c>
      <c r="D67" s="8" t="s">
        <v>700</v>
      </c>
      <c r="E67" s="10"/>
    </row>
    <row r="68" customFormat="false" ht="15" hidden="false" customHeight="false" outlineLevel="0" collapsed="false">
      <c r="A68" s="7" t="s">
        <v>691</v>
      </c>
      <c r="B68" s="7" t="s">
        <v>779</v>
      </c>
      <c r="C68" s="7" t="s">
        <v>780</v>
      </c>
      <c r="D68" s="8" t="s">
        <v>781</v>
      </c>
      <c r="E68" s="10"/>
    </row>
    <row r="69" customFormat="false" ht="15" hidden="false" customHeight="false" outlineLevel="0" collapsed="false">
      <c r="A69" s="7" t="s">
        <v>691</v>
      </c>
      <c r="B69" s="7" t="s">
        <v>782</v>
      </c>
      <c r="C69" s="7" t="s">
        <v>783</v>
      </c>
      <c r="D69" s="8" t="s">
        <v>784</v>
      </c>
      <c r="E69" s="10"/>
    </row>
    <row r="70" customFormat="false" ht="15" hidden="false" customHeight="false" outlineLevel="0" collapsed="false">
      <c r="A70" s="7" t="s">
        <v>691</v>
      </c>
      <c r="B70" s="7" t="s">
        <v>785</v>
      </c>
      <c r="C70" s="7" t="s">
        <v>786</v>
      </c>
      <c r="D70" s="8" t="s">
        <v>787</v>
      </c>
      <c r="E70" s="10"/>
    </row>
    <row r="71" customFormat="false" ht="15" hidden="false" customHeight="false" outlineLevel="0" collapsed="false">
      <c r="A71" s="7" t="s">
        <v>691</v>
      </c>
      <c r="B71" s="7" t="s">
        <v>788</v>
      </c>
      <c r="C71" s="7" t="s">
        <v>789</v>
      </c>
      <c r="D71" s="8" t="s">
        <v>790</v>
      </c>
      <c r="E71" s="10"/>
    </row>
    <row r="72" customFormat="false" ht="15" hidden="false" customHeight="false" outlineLevel="0" collapsed="false">
      <c r="A72" s="7" t="s">
        <v>691</v>
      </c>
      <c r="B72" s="7" t="s">
        <v>791</v>
      </c>
      <c r="C72" s="7" t="s">
        <v>792</v>
      </c>
      <c r="D72" s="8" t="s">
        <v>700</v>
      </c>
      <c r="E72" s="10"/>
    </row>
    <row r="73" customFormat="false" ht="15" hidden="false" customHeight="false" outlineLevel="0" collapsed="false">
      <c r="A73" s="7" t="s">
        <v>691</v>
      </c>
      <c r="B73" s="7" t="s">
        <v>793</v>
      </c>
      <c r="C73" s="7" t="s">
        <v>794</v>
      </c>
      <c r="D73" s="8" t="s">
        <v>795</v>
      </c>
      <c r="E73" s="10"/>
    </row>
    <row r="74" customFormat="false" ht="15" hidden="false" customHeight="false" outlineLevel="0" collapsed="false">
      <c r="A74" s="7" t="s">
        <v>691</v>
      </c>
      <c r="B74" s="7" t="s">
        <v>796</v>
      </c>
      <c r="C74" s="7" t="s">
        <v>797</v>
      </c>
      <c r="D74" s="8" t="s">
        <v>798</v>
      </c>
      <c r="E7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30"/>
  </cols>
  <sheetData>
    <row r="1" customFormat="false" ht="31.5" hidden="false" customHeight="true" outlineLevel="0" collapsed="false">
      <c r="A1" s="5" t="s">
        <v>799</v>
      </c>
      <c r="B1" s="5" t="s">
        <v>602</v>
      </c>
      <c r="C1" s="5" t="s">
        <v>800</v>
      </c>
      <c r="D1" s="5" t="s">
        <v>801</v>
      </c>
      <c r="E1" s="5" t="s">
        <v>802</v>
      </c>
      <c r="F1" s="5" t="s">
        <v>32</v>
      </c>
    </row>
    <row r="2" customFormat="false" ht="82.05" hidden="false" customHeight="false" outlineLevel="0" collapsed="false">
      <c r="A2" s="7" t="s">
        <v>803</v>
      </c>
      <c r="B2" s="7" t="s">
        <v>804</v>
      </c>
      <c r="C2" s="6" t="s">
        <v>805</v>
      </c>
      <c r="D2" s="8" t="n">
        <v>15</v>
      </c>
      <c r="E2" s="6" t="s">
        <v>806</v>
      </c>
      <c r="F2" s="10"/>
    </row>
    <row r="3" customFormat="false" ht="28.35" hidden="false" customHeight="false" outlineLevel="0" collapsed="false">
      <c r="A3" s="7" t="s">
        <v>539</v>
      </c>
      <c r="B3" s="7" t="s">
        <v>807</v>
      </c>
      <c r="C3" s="6" t="s">
        <v>805</v>
      </c>
      <c r="D3" s="8" t="n">
        <v>15</v>
      </c>
      <c r="E3" s="6" t="s">
        <v>808</v>
      </c>
      <c r="F3" s="10"/>
    </row>
    <row r="4" customFormat="false" ht="15" hidden="false" customHeight="false" outlineLevel="0" collapsed="false">
      <c r="A4" s="7" t="s">
        <v>809</v>
      </c>
      <c r="B4" s="7" t="s">
        <v>810</v>
      </c>
      <c r="C4" s="6" t="s">
        <v>805</v>
      </c>
      <c r="D4" s="8" t="n">
        <v>15</v>
      </c>
      <c r="E4" s="6" t="s">
        <v>811</v>
      </c>
      <c r="F4" s="10"/>
    </row>
    <row r="5" customFormat="false" ht="15" hidden="false" customHeight="false" outlineLevel="0" collapsed="false">
      <c r="A5" s="7" t="s">
        <v>812</v>
      </c>
      <c r="B5" s="7" t="s">
        <v>813</v>
      </c>
      <c r="C5" s="6" t="s">
        <v>805</v>
      </c>
      <c r="D5" s="8" t="n">
        <v>15</v>
      </c>
      <c r="E5" s="6" t="s">
        <v>814</v>
      </c>
      <c r="F5" s="10"/>
    </row>
    <row r="6" customFormat="false" ht="28.35" hidden="false" customHeight="false" outlineLevel="0" collapsed="false">
      <c r="A6" s="7" t="s">
        <v>815</v>
      </c>
      <c r="B6" s="7" t="s">
        <v>816</v>
      </c>
      <c r="C6" s="7"/>
      <c r="D6" s="8" t="n">
        <v>15</v>
      </c>
      <c r="E6" s="6" t="s">
        <v>817</v>
      </c>
      <c r="F6" s="10"/>
    </row>
    <row r="7" customFormat="false" ht="28.35" hidden="false" customHeight="false" outlineLevel="0" collapsed="false">
      <c r="A7" s="7" t="s">
        <v>818</v>
      </c>
      <c r="B7" s="7" t="s">
        <v>819</v>
      </c>
      <c r="C7" s="7"/>
      <c r="D7" s="8" t="n">
        <v>15</v>
      </c>
      <c r="E7" s="7" t="s">
        <v>820</v>
      </c>
      <c r="F7" s="10"/>
    </row>
    <row r="8" customFormat="false" ht="15" hidden="false" customHeight="false" outlineLevel="0" collapsed="false">
      <c r="A8" s="7" t="s">
        <v>821</v>
      </c>
      <c r="B8" s="7" t="s">
        <v>822</v>
      </c>
      <c r="C8" s="7"/>
      <c r="D8" s="8" t="n">
        <v>15</v>
      </c>
      <c r="E8" s="6" t="s">
        <v>823</v>
      </c>
      <c r="F8" s="10"/>
    </row>
    <row r="9" customFormat="false" ht="15" hidden="false" customHeight="false" outlineLevel="0" collapsed="false">
      <c r="A9" s="7" t="s">
        <v>824</v>
      </c>
      <c r="B9" s="7" t="s">
        <v>825</v>
      </c>
      <c r="C9" s="7"/>
      <c r="D9" s="8" t="n">
        <v>15</v>
      </c>
      <c r="E9" s="7" t="s">
        <v>826</v>
      </c>
      <c r="F9" s="10"/>
    </row>
    <row r="10" customFormat="false" ht="28.35" hidden="false" customHeight="false" outlineLevel="0" collapsed="false">
      <c r="A10" s="7" t="s">
        <v>827</v>
      </c>
      <c r="B10" s="7" t="s">
        <v>828</v>
      </c>
      <c r="C10" s="7"/>
      <c r="D10" s="8" t="n">
        <v>15</v>
      </c>
      <c r="E10" s="7" t="s">
        <v>829</v>
      </c>
      <c r="F10" s="10"/>
    </row>
    <row r="11" customFormat="false" ht="28.35" hidden="false" customHeight="false" outlineLevel="0" collapsed="false">
      <c r="A11" s="7" t="s">
        <v>830</v>
      </c>
      <c r="B11" s="7" t="s">
        <v>831</v>
      </c>
      <c r="C11" s="7"/>
      <c r="D11" s="8" t="n">
        <v>15</v>
      </c>
      <c r="E11" s="7" t="s">
        <v>832</v>
      </c>
      <c r="F11" s="10"/>
    </row>
    <row r="12" customFormat="false" ht="15" hidden="false" customHeight="false" outlineLevel="0" collapsed="false">
      <c r="A12" s="7" t="s">
        <v>833</v>
      </c>
      <c r="B12" s="7" t="s">
        <v>834</v>
      </c>
      <c r="C12" s="7"/>
      <c r="D12" s="8" t="n">
        <v>15</v>
      </c>
      <c r="E12" s="7" t="s">
        <v>835</v>
      </c>
      <c r="F12" s="10"/>
    </row>
    <row r="13" customFormat="false" ht="15" hidden="false" customHeight="false" outlineLevel="0" collapsed="false">
      <c r="A13" s="7" t="s">
        <v>836</v>
      </c>
      <c r="B13" s="7" t="s">
        <v>837</v>
      </c>
      <c r="C13" s="7"/>
      <c r="D13" s="8" t="n">
        <v>15</v>
      </c>
      <c r="E13" s="7" t="s">
        <v>838</v>
      </c>
      <c r="F13" s="10"/>
    </row>
    <row r="14" customFormat="false" ht="28.35" hidden="false" customHeight="false" outlineLevel="0" collapsed="false">
      <c r="A14" s="7" t="s">
        <v>839</v>
      </c>
      <c r="B14" s="7" t="s">
        <v>840</v>
      </c>
      <c r="C14" s="7"/>
      <c r="D14" s="8" t="n">
        <v>15</v>
      </c>
      <c r="E14" s="6" t="s">
        <v>841</v>
      </c>
      <c r="F14" s="10"/>
    </row>
    <row r="15" customFormat="false" ht="28.35" hidden="false" customHeight="false" outlineLevel="0" collapsed="false">
      <c r="A15" s="7" t="s">
        <v>842</v>
      </c>
      <c r="B15" s="7" t="s">
        <v>843</v>
      </c>
      <c r="C15" s="7"/>
      <c r="D15" s="8" t="n">
        <v>15</v>
      </c>
      <c r="E15" s="7" t="s">
        <v>844</v>
      </c>
      <c r="F15" s="10"/>
    </row>
    <row r="16" customFormat="false" ht="15" hidden="false" customHeight="false" outlineLevel="0" collapsed="false">
      <c r="A16" s="7" t="s">
        <v>845</v>
      </c>
      <c r="B16" s="7" t="s">
        <v>846</v>
      </c>
      <c r="C16" s="7"/>
      <c r="D16" s="8" t="n">
        <v>15</v>
      </c>
      <c r="E16" s="7" t="s">
        <v>847</v>
      </c>
      <c r="F16" s="10"/>
    </row>
    <row r="17" customFormat="false" ht="28.35" hidden="false" customHeight="false" outlineLevel="0" collapsed="false">
      <c r="A17" s="7" t="s">
        <v>848</v>
      </c>
      <c r="B17" s="7" t="s">
        <v>849</v>
      </c>
      <c r="C17" s="7"/>
      <c r="D17" s="8" t="n">
        <v>15</v>
      </c>
      <c r="E17" s="7" t="s">
        <v>850</v>
      </c>
      <c r="F17" s="10"/>
    </row>
    <row r="18" customFormat="false" ht="15" hidden="false" customHeight="false" outlineLevel="0" collapsed="false">
      <c r="A18" s="7" t="s">
        <v>851</v>
      </c>
      <c r="B18" s="7" t="s">
        <v>852</v>
      </c>
      <c r="C18" s="7"/>
      <c r="D18" s="8" t="n">
        <v>15</v>
      </c>
      <c r="E18" s="7" t="s">
        <v>853</v>
      </c>
      <c r="F18" s="10"/>
    </row>
    <row r="19" customFormat="false" ht="28.35" hidden="false" customHeight="false" outlineLevel="0" collapsed="false">
      <c r="A19" s="7" t="s">
        <v>854</v>
      </c>
      <c r="B19" s="7" t="s">
        <v>855</v>
      </c>
      <c r="C19" s="7"/>
      <c r="D19" s="8" t="n">
        <v>15</v>
      </c>
      <c r="E19" s="7" t="s">
        <v>829</v>
      </c>
      <c r="F19" s="10"/>
    </row>
    <row r="20" customFormat="false" ht="15" hidden="false" customHeight="false" outlineLevel="0" collapsed="false">
      <c r="A20" s="7" t="s">
        <v>856</v>
      </c>
      <c r="B20" s="7" t="s">
        <v>857</v>
      </c>
      <c r="C20" s="7"/>
      <c r="D20" s="8" t="n">
        <v>15</v>
      </c>
      <c r="E20" s="6" t="s">
        <v>858</v>
      </c>
      <c r="F20" s="10"/>
    </row>
    <row r="21" customFormat="false" ht="41.75" hidden="false" customHeight="false" outlineLevel="0" collapsed="false">
      <c r="A21" s="7" t="s">
        <v>859</v>
      </c>
      <c r="B21" s="7" t="s">
        <v>860</v>
      </c>
      <c r="C21" s="7"/>
      <c r="D21" s="8" t="n">
        <v>15</v>
      </c>
      <c r="E21" s="7" t="s">
        <v>861</v>
      </c>
      <c r="F21" s="10"/>
    </row>
    <row r="22" customFormat="false" ht="41.75" hidden="false" customHeight="false" outlineLevel="0" collapsed="false">
      <c r="A22" s="7" t="s">
        <v>862</v>
      </c>
      <c r="B22" s="7" t="s">
        <v>863</v>
      </c>
      <c r="C22" s="7"/>
      <c r="D22" s="8" t="n">
        <v>15</v>
      </c>
      <c r="E22" s="7" t="s">
        <v>864</v>
      </c>
      <c r="F22" s="10"/>
    </row>
    <row r="23" customFormat="false" ht="28.35" hidden="false" customHeight="false" outlineLevel="0" collapsed="false">
      <c r="A23" s="7" t="s">
        <v>865</v>
      </c>
      <c r="B23" s="7" t="s">
        <v>866</v>
      </c>
      <c r="C23" s="7"/>
      <c r="D23" s="8" t="n">
        <v>15</v>
      </c>
      <c r="E23" s="7" t="s">
        <v>867</v>
      </c>
      <c r="F23" s="10"/>
    </row>
    <row r="24" customFormat="false" ht="28.35" hidden="false" customHeight="false" outlineLevel="0" collapsed="false">
      <c r="A24" s="7" t="s">
        <v>868</v>
      </c>
      <c r="B24" s="7" t="s">
        <v>869</v>
      </c>
      <c r="C24" s="7"/>
      <c r="D24" s="7" t="n">
        <v>15</v>
      </c>
      <c r="E24" s="7"/>
      <c r="F2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5" t="s">
        <v>870</v>
      </c>
      <c r="B1" s="5" t="s">
        <v>628</v>
      </c>
      <c r="C1" s="5" t="s">
        <v>480</v>
      </c>
      <c r="D1" s="5" t="s">
        <v>871</v>
      </c>
      <c r="E1" s="5" t="s">
        <v>872</v>
      </c>
      <c r="F1" s="5" t="s">
        <v>802</v>
      </c>
      <c r="G1" s="5" t="s">
        <v>32</v>
      </c>
    </row>
    <row r="2" customFormat="false" ht="68.65" hidden="false" customHeight="false" outlineLevel="0" collapsed="false">
      <c r="A2" s="7" t="s">
        <v>873</v>
      </c>
      <c r="B2" s="7" t="s">
        <v>874</v>
      </c>
      <c r="C2" s="7" t="s">
        <v>875</v>
      </c>
      <c r="D2" s="7" t="s">
        <v>876</v>
      </c>
      <c r="E2" s="7" t="s">
        <v>877</v>
      </c>
      <c r="F2" s="8" t="s">
        <v>878</v>
      </c>
      <c r="G2" s="10"/>
    </row>
    <row r="3" customFormat="false" ht="41.75" hidden="false" customHeight="false" outlineLevel="0" collapsed="false">
      <c r="A3" s="7" t="s">
        <v>879</v>
      </c>
      <c r="B3" s="7" t="s">
        <v>880</v>
      </c>
      <c r="C3" s="7" t="s">
        <v>881</v>
      </c>
      <c r="D3" s="6" t="s">
        <v>882</v>
      </c>
      <c r="E3" s="7" t="s">
        <v>883</v>
      </c>
      <c r="F3" s="8" t="s">
        <v>884</v>
      </c>
      <c r="G3" s="10"/>
    </row>
    <row r="4" customFormat="false" ht="41.75" hidden="false" customHeight="false" outlineLevel="0" collapsed="false">
      <c r="A4" s="7" t="s">
        <v>885</v>
      </c>
      <c r="B4" s="7" t="s">
        <v>886</v>
      </c>
      <c r="C4" s="7" t="s">
        <v>887</v>
      </c>
      <c r="D4" s="7" t="s">
        <v>888</v>
      </c>
      <c r="E4" s="7" t="s">
        <v>889</v>
      </c>
      <c r="F4" s="8" t="s">
        <v>890</v>
      </c>
      <c r="G4" s="10"/>
    </row>
    <row r="5" customFormat="false" ht="162.65" hidden="false" customHeight="false" outlineLevel="0" collapsed="false">
      <c r="A5" s="7" t="s">
        <v>891</v>
      </c>
      <c r="B5" s="7" t="s">
        <v>892</v>
      </c>
      <c r="C5" s="7" t="s">
        <v>893</v>
      </c>
      <c r="D5" s="7" t="s">
        <v>894</v>
      </c>
      <c r="E5" s="7" t="s">
        <v>895</v>
      </c>
      <c r="F5" s="8" t="s">
        <v>896</v>
      </c>
      <c r="G5" s="10"/>
    </row>
    <row r="6" customFormat="false" ht="149.25" hidden="false" customHeight="false" outlineLevel="0" collapsed="false">
      <c r="A6" s="7" t="s">
        <v>897</v>
      </c>
      <c r="B6" s="7" t="s">
        <v>898</v>
      </c>
      <c r="C6" s="7" t="s">
        <v>899</v>
      </c>
      <c r="D6" s="7" t="s">
        <v>900</v>
      </c>
      <c r="E6" s="7" t="s">
        <v>901</v>
      </c>
      <c r="F6" s="8" t="s">
        <v>902</v>
      </c>
      <c r="G6" s="10"/>
    </row>
    <row r="7" customFormat="false" ht="41.75" hidden="false" customHeight="false" outlineLevel="0" collapsed="false">
      <c r="A7" s="7" t="s">
        <v>903</v>
      </c>
      <c r="B7" s="7" t="s">
        <v>904</v>
      </c>
      <c r="C7" s="7"/>
      <c r="D7" s="7"/>
      <c r="E7" s="7"/>
      <c r="F7" s="7"/>
      <c r="G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2026-10-19T11:53:02Z</dcterms:created>
  <dc:creator>openpyxl</dc:creator>
  <dc:description/>
  <dc:language>en-US</dc:language>
  <cp:lastModifiedBy/>
  <dcterms:modified xsi:type="dcterms:W3CDTF">2026-10-19T11:53:02Z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